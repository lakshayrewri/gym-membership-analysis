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28d3a2439bec03cb/Documents/"/>
    </mc:Choice>
  </mc:AlternateContent>
  <xr:revisionPtr revIDLastSave="834" documentId="8_{9D8C7057-B11D-4B11-BB1E-2C003B80AD58}" xr6:coauthVersionLast="47" xr6:coauthVersionMax="47" xr10:uidLastSave="{B078CA05-3F7E-4F8B-842F-50FB061322F1}"/>
  <bookViews>
    <workbookView xWindow="-108" yWindow="-108" windowWidth="23256" windowHeight="12456" firstSheet="1" activeTab="5" xr2:uid="{233F6706-ADC8-458C-A94F-FB18652CE2E6}"/>
  </bookViews>
  <sheets>
    <sheet name="payments" sheetId="5" r:id="rId1"/>
    <sheet name="attendance" sheetId="4" r:id="rId2"/>
    <sheet name="classes" sheetId="3" r:id="rId3"/>
    <sheet name="members" sheetId="1" r:id="rId4"/>
    <sheet name="trainers" sheetId="2" r:id="rId5"/>
    <sheet name="Pivot table" sheetId="6" r:id="rId6"/>
    <sheet name="dashboard" sheetId="7" r:id="rId7"/>
  </sheets>
  <definedNames>
    <definedName name="_xlcn.WorksheetConnection_Book1attendance" hidden="1">attendance[]</definedName>
    <definedName name="_xlcn.WorksheetConnection_Book1classes" hidden="1">classes[]</definedName>
    <definedName name="_xlcn.WorksheetConnection_Book1members" hidden="1">members[]</definedName>
    <definedName name="_xlcn.WorksheetConnection_Book1payments" hidden="1">payments[]</definedName>
    <definedName name="_xlcn.WorksheetConnection_Book1trainer" hidden="1">trainer[]</definedName>
    <definedName name="ExternalData_1" localSheetId="3" hidden="1">members!$A$1:$H$130</definedName>
    <definedName name="ExternalData_2" localSheetId="4" hidden="1">trainers!$A$1:$D$11</definedName>
    <definedName name="ExternalData_3" localSheetId="2" hidden="1">'classes'!$A$1:$E$21</definedName>
    <definedName name="ExternalData_4" localSheetId="1" hidden="1">attendance!$A$1:$D$523</definedName>
    <definedName name="ExternalData_5" localSheetId="0" hidden="1">payments!$A$1:$E$180</definedName>
    <definedName name="Slicer_city">#N/A</definedName>
    <definedName name="Slicer_membership_type">#N/A</definedName>
    <definedName name="Slicer_payment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er" name="trainer" connection="WorksheetConnection_Book1!trainer"/>
          <x15:modelTable id="payments" name="payments" connection="WorksheetConnection_Book1!payments"/>
          <x15:modelTable id="members" name="members" connection="WorksheetConnection_Book1!members"/>
          <x15:modelTable id="classes" name="classes" connection="WorksheetConnection_Book1!classes"/>
          <x15:modelTable id="attendance" name="attendance" connection="WorksheetConnection_Book1!attendance"/>
        </x15:modelTables>
        <x15:modelRelationships>
          <x15:modelRelationship fromTable="payments" fromColumn="member_id" toTable="members" toColumn="member_id"/>
          <x15:modelRelationship fromTable="attendance" fromColumn="member_id" toTable="members" toColumn="member_id"/>
          <x15:modelRelationship fromTable="attendance" fromColumn="class_id" toTable="classes" toColumn="class_id"/>
          <x15:modelRelationship fromTable="classes" fromColumn="trainer_id" toTable="trainer" toColumn="trainer_id"/>
        </x15:modelRelationships>
        <x15:extLst>
          <ext xmlns:x16="http://schemas.microsoft.com/office/spreadsheetml/2014/11/main" uri="{9835A34E-60A6-4A7C-AAB8-D5F71C897F49}">
            <x16:modelTimeGroupings>
              <x16:modelTimeGrouping tableName="payments" columnName="payment_date" columnId="payment_date">
                <x16:calculatedTimeColumn columnName="payment_date (Year)" columnId="payment_date (Year)" contentType="years" isSelected="1"/>
                <x16:calculatedTimeColumn columnName="payment_date (Quarter)" columnId="payment_date (Quarter)" contentType="quarters" isSelected="1"/>
                <x16:calculatedTimeColumn columnName="payment_date (Month Index)" columnId="payment_date (Month Index)" contentType="monthsindex" isSelected="1"/>
                <x16:calculatedTimeColumn columnName="payment_date (Month)" columnId="paymen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3635F8-9AF1-4A43-95D3-49118F93ED87}" keepAlive="1" name="Query - attendance" description="Connection to the 'attendance' query in the workbook." type="5" refreshedVersion="8" background="1" saveData="1">
    <dbPr connection="Provider=Microsoft.Mashup.OleDb.1;Data Source=$Workbook$;Location=attendance;Extended Properties=&quot;&quot;" command="SELECT * FROM [attendance]"/>
  </connection>
  <connection id="2" xr16:uid="{7A5C630F-4FC6-4678-AC0A-F89767CFACF7}" keepAlive="1" name="Query - classes" description="Connection to the 'classes' query in the workbook." type="5" refreshedVersion="8" background="1" saveData="1">
    <dbPr connection="Provider=Microsoft.Mashup.OleDb.1;Data Source=$Workbook$;Location=classes;Extended Properties=&quot;&quot;" command="SELECT * FROM [classes]"/>
  </connection>
  <connection id="3" xr16:uid="{8BCCF29D-1718-43B3-8E7F-62B194888EC3}" keepAlive="1" name="Query - members" description="Connection to the 'members' query in the workbook." type="5" refreshedVersion="8" background="1" saveData="1">
    <dbPr connection="Provider=Microsoft.Mashup.OleDb.1;Data Source=$Workbook$;Location=members;Extended Properties=&quot;&quot;" command="SELECT * FROM [members]"/>
  </connection>
  <connection id="4" xr16:uid="{D3CBD5E3-436E-4550-A634-336EDC2FCC46}" keepAlive="1" name="Query - payments" description="Connection to the 'payments' query in the workbook." type="5" refreshedVersion="8" background="1" saveData="1">
    <dbPr connection="Provider=Microsoft.Mashup.OleDb.1;Data Source=$Workbook$;Location=payments;Extended Properties=&quot;&quot;" command="SELECT * FROM [payments]"/>
  </connection>
  <connection id="5" xr16:uid="{330A3595-6B06-4C61-B2BB-E5DC79CBE26E}" keepAlive="1" name="Query - trainer" description="Connection to the 'trainer' query in the workbook." type="5" refreshedVersion="8" background="1" saveData="1">
    <dbPr connection="Provider=Microsoft.Mashup.OleDb.1;Data Source=$Workbook$;Location=trainer;Extended Properties=&quot;&quot;" command="SELECT * FROM [trainer]"/>
  </connection>
  <connection id="6" xr16:uid="{B4BE5AF5-CF6B-4948-9674-890A3B47C8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62D22D4-0382-4A68-8B10-59FB351D2BD8}" name="WorksheetConnection_Book1!attendance" type="102" refreshedVersion="8" minRefreshableVersion="5">
    <extLst>
      <ext xmlns:x15="http://schemas.microsoft.com/office/spreadsheetml/2010/11/main" uri="{DE250136-89BD-433C-8126-D09CA5730AF9}">
        <x15:connection id="attendance">
          <x15:rangePr sourceName="_xlcn.WorksheetConnection_Book1attendance"/>
        </x15:connection>
      </ext>
    </extLst>
  </connection>
  <connection id="8" xr16:uid="{62603770-D1DF-4DA8-91BE-D7D2D2EB3C84}" name="WorksheetConnection_Book1!classes" type="102" refreshedVersion="8" minRefreshableVersion="5">
    <extLst>
      <ext xmlns:x15="http://schemas.microsoft.com/office/spreadsheetml/2010/11/main" uri="{DE250136-89BD-433C-8126-D09CA5730AF9}">
        <x15:connection id="classes">
          <x15:rangePr sourceName="_xlcn.WorksheetConnection_Book1classes"/>
        </x15:connection>
      </ext>
    </extLst>
  </connection>
  <connection id="9" xr16:uid="{A11308DD-4805-4753-BE2B-073397DC89F9}" name="WorksheetConnection_Book1!members" type="102" refreshedVersion="8" minRefreshableVersion="5">
    <extLst>
      <ext xmlns:x15="http://schemas.microsoft.com/office/spreadsheetml/2010/11/main" uri="{DE250136-89BD-433C-8126-D09CA5730AF9}">
        <x15:connection id="members">
          <x15:rangePr sourceName="_xlcn.WorksheetConnection_Book1members"/>
        </x15:connection>
      </ext>
    </extLst>
  </connection>
  <connection id="10" xr16:uid="{43F5D75B-A64B-4AB2-B6BD-6681D6D43271}" name="WorksheetConnection_Book1!payments" type="102" refreshedVersion="8" minRefreshableVersion="5">
    <extLst>
      <ext xmlns:x15="http://schemas.microsoft.com/office/spreadsheetml/2010/11/main" uri="{DE250136-89BD-433C-8126-D09CA5730AF9}">
        <x15:connection id="payments">
          <x15:rangePr sourceName="_xlcn.WorksheetConnection_Book1payments"/>
        </x15:connection>
      </ext>
    </extLst>
  </connection>
  <connection id="11" xr16:uid="{D094A346-10B0-483E-96A3-D56F63A8BB95}" name="WorksheetConnection_Book1!trainer" type="102" refreshedVersion="8" minRefreshableVersion="5">
    <extLst>
      <ext xmlns:x15="http://schemas.microsoft.com/office/spreadsheetml/2010/11/main" uri="{DE250136-89BD-433C-8126-D09CA5730AF9}">
        <x15:connection id="trainer">
          <x15:rangePr sourceName="_xlcn.WorksheetConnection_Book1trainer"/>
        </x15:connection>
      </ext>
    </extLst>
  </connection>
</connections>
</file>

<file path=xl/sharedStrings.xml><?xml version="1.0" encoding="utf-8"?>
<sst xmlns="http://schemas.openxmlformats.org/spreadsheetml/2006/main" count="954" uniqueCount="173">
  <si>
    <t>member_id</t>
  </si>
  <si>
    <t>name</t>
  </si>
  <si>
    <t>gender</t>
  </si>
  <si>
    <t>age</t>
  </si>
  <si>
    <t>city</t>
  </si>
  <si>
    <t>join_date</t>
  </si>
  <si>
    <t>membership_type</t>
  </si>
  <si>
    <t>membership_status</t>
  </si>
  <si>
    <t>Sneha Khan</t>
  </si>
  <si>
    <t>Female</t>
  </si>
  <si>
    <t>Ghaziabad</t>
  </si>
  <si>
    <t>Monthly</t>
  </si>
  <si>
    <t>Inactive</t>
  </si>
  <si>
    <t>Pooja Kapoor</t>
  </si>
  <si>
    <t>Delhi</t>
  </si>
  <si>
    <t>Active</t>
  </si>
  <si>
    <t>Manish Kapoor</t>
  </si>
  <si>
    <t>Male</t>
  </si>
  <si>
    <t>Faridabad</t>
  </si>
  <si>
    <t>Yearly</t>
  </si>
  <si>
    <t>Sahil Kapoor</t>
  </si>
  <si>
    <t>Karan Gupta</t>
  </si>
  <si>
    <t>Deepak Yadav</t>
  </si>
  <si>
    <t>Riya Gupta</t>
  </si>
  <si>
    <t>Karan Bansal</t>
  </si>
  <si>
    <t>Rahul Khan</t>
  </si>
  <si>
    <t>Noida</t>
  </si>
  <si>
    <t>Pooja Singh</t>
  </si>
  <si>
    <t>Deepak Kapoor</t>
  </si>
  <si>
    <t>Rohit Kapoor</t>
  </si>
  <si>
    <t>Priya Mehta</t>
  </si>
  <si>
    <t>Rahul Verma</t>
  </si>
  <si>
    <t>Sneha Mehta</t>
  </si>
  <si>
    <t>Arjun Gupta</t>
  </si>
  <si>
    <t>Vikas Kapoor</t>
  </si>
  <si>
    <t>Arjun Singh</t>
  </si>
  <si>
    <t>Gurgaon</t>
  </si>
  <si>
    <t>Manish Singh</t>
  </si>
  <si>
    <t>Anjali Verma</t>
  </si>
  <si>
    <t>Priya Singh</t>
  </si>
  <si>
    <t>Rahul Malik</t>
  </si>
  <si>
    <t>Riya Singh</t>
  </si>
  <si>
    <t>Karan Khan</t>
  </si>
  <si>
    <t>Riya Verma</t>
  </si>
  <si>
    <t>Anjali Bansal</t>
  </si>
  <si>
    <t>Sahil Singh</t>
  </si>
  <si>
    <t>Priya Khan</t>
  </si>
  <si>
    <t>Sneha Kapoor</t>
  </si>
  <si>
    <t>Priya Malik</t>
  </si>
  <si>
    <t>Rahul Bansal</t>
  </si>
  <si>
    <t>Vikas Singh</t>
  </si>
  <si>
    <t>Neha Yadav</t>
  </si>
  <si>
    <t>Rohit Verma</t>
  </si>
  <si>
    <t>Rohit Malik</t>
  </si>
  <si>
    <t>Kavita Bansal</t>
  </si>
  <si>
    <t>Manish Gupta</t>
  </si>
  <si>
    <t>Riya Sharma</t>
  </si>
  <si>
    <t>Arjun Khan</t>
  </si>
  <si>
    <t>Manish Verma</t>
  </si>
  <si>
    <t>Pooja Verma</t>
  </si>
  <si>
    <t>Deepak Mehta</t>
  </si>
  <si>
    <t>Vikas Mehta</t>
  </si>
  <si>
    <t>Vikas Yadav</t>
  </si>
  <si>
    <t>Sneha Yadav</t>
  </si>
  <si>
    <t>Riya Bansal</t>
  </si>
  <si>
    <t>Rahul Yadav</t>
  </si>
  <si>
    <t>Pooja Malik</t>
  </si>
  <si>
    <t>Anjali Mehta</t>
  </si>
  <si>
    <t>Riya Malik</t>
  </si>
  <si>
    <t>Priya Kapoor</t>
  </si>
  <si>
    <t>Sneha Verma</t>
  </si>
  <si>
    <t>Manish Bansal</t>
  </si>
  <si>
    <t>Pooja Khan</t>
  </si>
  <si>
    <t>Neha Mehta</t>
  </si>
  <si>
    <t>Priya Gupta</t>
  </si>
  <si>
    <t>Aman Singh</t>
  </si>
  <si>
    <t>Anjali Gupta</t>
  </si>
  <si>
    <t>Sneha Gupta</t>
  </si>
  <si>
    <t>Sahil Yadav</t>
  </si>
  <si>
    <t>Vikas Verma</t>
  </si>
  <si>
    <t>Deepak Sharma</t>
  </si>
  <si>
    <t>Neha Bansal</t>
  </si>
  <si>
    <t>Riya Khan</t>
  </si>
  <si>
    <t>Aman Malik</t>
  </si>
  <si>
    <t>Sahil Verma</t>
  </si>
  <si>
    <t>Neha Khan</t>
  </si>
  <si>
    <t>Karan Verma</t>
  </si>
  <si>
    <t>Pooja Bansal</t>
  </si>
  <si>
    <t>Rohit Yadav</t>
  </si>
  <si>
    <t>Pooja Yadav</t>
  </si>
  <si>
    <t>Sneha Malik</t>
  </si>
  <si>
    <t>Riya Mehta</t>
  </si>
  <si>
    <t>Deepak Bansal</t>
  </si>
  <si>
    <t>Sahil Mehta</t>
  </si>
  <si>
    <t>Vikas Khan</t>
  </si>
  <si>
    <t>Priya Yadav</t>
  </si>
  <si>
    <t>Vikas Bansal</t>
  </si>
  <si>
    <t>Priya Bansal</t>
  </si>
  <si>
    <t>Arjun Verma</t>
  </si>
  <si>
    <t>Rahul Singh</t>
  </si>
  <si>
    <t>Deepak Verma</t>
  </si>
  <si>
    <t>Neha Verma</t>
  </si>
  <si>
    <t>Riya Kapoor</t>
  </si>
  <si>
    <t>Anjali Sharma</t>
  </si>
  <si>
    <t>Arjun Bansal</t>
  </si>
  <si>
    <t>Pooja Mehta</t>
  </si>
  <si>
    <t>Rohit Khan</t>
  </si>
  <si>
    <t>Kavita Mehta</t>
  </si>
  <si>
    <t>Kavita Singh</t>
  </si>
  <si>
    <t>Manish Mehta</t>
  </si>
  <si>
    <t>trainer_id</t>
  </si>
  <si>
    <t>trainer_name</t>
  </si>
  <si>
    <t>specialization</t>
  </si>
  <si>
    <t>experience_years</t>
  </si>
  <si>
    <t>Raj Mehta</t>
  </si>
  <si>
    <t>Strength Training</t>
  </si>
  <si>
    <t>Aarti Sharma</t>
  </si>
  <si>
    <t>Yoga</t>
  </si>
  <si>
    <t>Vikram Singh</t>
  </si>
  <si>
    <t>CrossFit</t>
  </si>
  <si>
    <t>Neha Kapoor</t>
  </si>
  <si>
    <t>Zumba</t>
  </si>
  <si>
    <t>Rohit Sharma</t>
  </si>
  <si>
    <t>Bodybuilding</t>
  </si>
  <si>
    <t>Kunal Verma</t>
  </si>
  <si>
    <t>HIIT</t>
  </si>
  <si>
    <t>Sonia Arora</t>
  </si>
  <si>
    <t>Pilates</t>
  </si>
  <si>
    <t>Deepak Rana</t>
  </si>
  <si>
    <t>Cardio</t>
  </si>
  <si>
    <t>Isha Khanna</t>
  </si>
  <si>
    <t>Mobility</t>
  </si>
  <si>
    <t>Aman Gill</t>
  </si>
  <si>
    <t>Functional</t>
  </si>
  <si>
    <t>class_id</t>
  </si>
  <si>
    <t>class_name</t>
  </si>
  <si>
    <t>duration_minutes</t>
  </si>
  <si>
    <t>difficulty</t>
  </si>
  <si>
    <t>Advanced</t>
  </si>
  <si>
    <t>Beginner</t>
  </si>
  <si>
    <t>Functional Training</t>
  </si>
  <si>
    <t>Intermediate</t>
  </si>
  <si>
    <t>Cardio Blast</t>
  </si>
  <si>
    <t>attendance_id</t>
  </si>
  <si>
    <t>attendance_date</t>
  </si>
  <si>
    <t>payment_id</t>
  </si>
  <si>
    <t>amount</t>
  </si>
  <si>
    <t>payment_date</t>
  </si>
  <si>
    <t>payment_method</t>
  </si>
  <si>
    <t>Cash</t>
  </si>
  <si>
    <t>Card</t>
  </si>
  <si>
    <t>UPI</t>
  </si>
  <si>
    <t>Grand Total</t>
  </si>
  <si>
    <t>Row Labels</t>
  </si>
  <si>
    <t>Sum of amount</t>
  </si>
  <si>
    <t>Jan</t>
  </si>
  <si>
    <t>Feb</t>
  </si>
  <si>
    <t>Mar</t>
  </si>
  <si>
    <t>Apr</t>
  </si>
  <si>
    <t>May</t>
  </si>
  <si>
    <t>Jun</t>
  </si>
  <si>
    <t>Jul</t>
  </si>
  <si>
    <t>Aug</t>
  </si>
  <si>
    <t>Sep</t>
  </si>
  <si>
    <t>Oct</t>
  </si>
  <si>
    <t>Nov</t>
  </si>
  <si>
    <t>Dec</t>
  </si>
  <si>
    <t>Count of attendance_id</t>
  </si>
  <si>
    <t>Count of member_id</t>
  </si>
  <si>
    <t>Count of class_id</t>
  </si>
  <si>
    <t>Avg_attendance</t>
  </si>
  <si>
    <t>Gym Membership Analysis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</si>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</sst>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4" x14ac:knownFonts="1">
    <font>
      <sz val="11"/>
      <color theme="1"/>
      <name val="Calibri"/>
      <family val="2"/>
      <scheme val="minor"/>
    </font>
    <font>
      <sz val="11"/>
      <color theme="0"/>
      <name val="Calibri"/>
      <family val="2"/>
      <scheme val="minor"/>
    </font>
    <font>
      <sz val="22"/>
      <color theme="1"/>
      <name val="Calibri"/>
      <family val="2"/>
      <scheme val="minor"/>
    </font>
    <font>
      <b/>
      <sz val="2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64" fontId="0" fillId="0" borderId="0" xfId="0" applyNumberFormat="1"/>
    <xf numFmtId="0" fontId="2" fillId="2" borderId="0" xfId="0" applyFont="1" applyFill="1"/>
    <xf numFmtId="0" fontId="3" fillId="2" borderId="0" xfId="0" applyFont="1" applyFill="1"/>
    <xf numFmtId="0" fontId="1" fillId="3" borderId="0" xfId="0" applyFont="1" applyFill="1"/>
  </cellXfs>
  <cellStyles count="1">
    <cellStyle name="Normal" xfId="0" builtinId="0"/>
  </cellStyles>
  <dxfs count="17">
    <dxf>
      <numFmt numFmtId="0" formatCode="General"/>
    </dxf>
    <dxf>
      <numFmt numFmtId="0" formatCode="General"/>
    </dxf>
    <dxf>
      <numFmt numFmtId="0" formatCode="General"/>
    </dxf>
    <dxf>
      <numFmt numFmtId="164" formatCode="_-[$$-409]* #,##0.00_ ;_-[$$-409]* \-#,##0.00\ ;_-[$$-409]* &quot;-&quot;??_ ;_-@_ "/>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s>
  <tableStyles count="0" defaultTableStyle="TableStyleMedium2" defaultPivotStyle="PivotStyleLight16"/>
  <colors>
    <mruColors>
      <color rgb="FFBFBFBF"/>
      <color rgb="FF6F42C1"/>
      <color rgb="FFFD7E14"/>
      <color rgb="FF28A745"/>
      <color rgb="FF007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[gym_membership_dashboard.xlsx]Pivot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Monthly</a:t>
            </a:r>
            <a:r>
              <a:rPr lang="en-US" sz="1500" b="1" baseline="0"/>
              <a:t> Revenue Trend</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91000</c:v>
                </c:pt>
                <c:pt idx="1">
                  <c:v>65000</c:v>
                </c:pt>
                <c:pt idx="2">
                  <c:v>88000</c:v>
                </c:pt>
                <c:pt idx="3">
                  <c:v>65000</c:v>
                </c:pt>
                <c:pt idx="4">
                  <c:v>57000</c:v>
                </c:pt>
                <c:pt idx="5">
                  <c:v>87000</c:v>
                </c:pt>
                <c:pt idx="6">
                  <c:v>70000</c:v>
                </c:pt>
                <c:pt idx="7">
                  <c:v>97000</c:v>
                </c:pt>
                <c:pt idx="8">
                  <c:v>46000</c:v>
                </c:pt>
                <c:pt idx="9">
                  <c:v>38000</c:v>
                </c:pt>
                <c:pt idx="10">
                  <c:v>51000</c:v>
                </c:pt>
                <c:pt idx="11">
                  <c:v>99000</c:v>
                </c:pt>
              </c:numCache>
            </c:numRef>
          </c:val>
          <c:smooth val="0"/>
          <c:extLst>
            <c:ext xmlns:c16="http://schemas.microsoft.com/office/drawing/2014/chart" uri="{C3380CC4-5D6E-409C-BE32-E72D297353CC}">
              <c16:uniqueId val="{00000000-A285-49E5-ABC1-D6442C4BBDBD}"/>
            </c:ext>
          </c:extLst>
        </c:ser>
        <c:dLbls>
          <c:showLegendKey val="0"/>
          <c:showVal val="0"/>
          <c:showCatName val="0"/>
          <c:showSerName val="0"/>
          <c:showPercent val="0"/>
          <c:showBubbleSize val="0"/>
        </c:dLbls>
        <c:smooth val="0"/>
        <c:axId val="901466895"/>
        <c:axId val="901467375"/>
      </c:lineChart>
      <c:catAx>
        <c:axId val="90146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467375"/>
        <c:crosses val="autoZero"/>
        <c:auto val="1"/>
        <c:lblAlgn val="ctr"/>
        <c:lblOffset val="100"/>
        <c:noMultiLvlLbl val="0"/>
      </c:catAx>
      <c:valAx>
        <c:axId val="90146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46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[gym_membership_dashboard.xlsx]Pivot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Revenue</a:t>
            </a:r>
            <a:r>
              <a:rPr lang="en-US" sz="1500" b="1" baseline="0"/>
              <a:t> By Membership Type</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7E14"/>
          </a:solidFill>
          <a:ln>
            <a:noFill/>
          </a:ln>
          <a:effectLst/>
        </c:spPr>
      </c:pivotFmt>
    </c:pivotFmts>
    <c:plotArea>
      <c:layout/>
      <c:barChart>
        <c:barDir val="col"/>
        <c:grouping val="stacked"/>
        <c:varyColors val="0"/>
        <c:ser>
          <c:idx val="0"/>
          <c:order val="0"/>
          <c:tx>
            <c:strRef>
              <c:f>'Pivot table'!$E$3</c:f>
              <c:strCache>
                <c:ptCount val="1"/>
                <c:pt idx="0">
                  <c:v>Total</c:v>
                </c:pt>
              </c:strCache>
            </c:strRef>
          </c:tx>
          <c:spPr>
            <a:solidFill>
              <a:schemeClr val="accent1"/>
            </a:solidFill>
            <a:ln>
              <a:noFill/>
            </a:ln>
            <a:effectLst/>
          </c:spPr>
          <c:invertIfNegative val="0"/>
          <c:dPt>
            <c:idx val="1"/>
            <c:invertIfNegative val="0"/>
            <c:bubble3D val="0"/>
            <c:spPr>
              <a:solidFill>
                <a:srgbClr val="FD7E14"/>
              </a:solidFill>
              <a:ln>
                <a:noFill/>
              </a:ln>
              <a:effectLst/>
            </c:spPr>
            <c:extLst>
              <c:ext xmlns:c16="http://schemas.microsoft.com/office/drawing/2014/chart" uri="{C3380CC4-5D6E-409C-BE32-E72D297353CC}">
                <c16:uniqueId val="{00000001-2BC2-4A55-A85D-1F2452BB237C}"/>
              </c:ext>
            </c:extLst>
          </c:dPt>
          <c:cat>
            <c:strRef>
              <c:f>'Pivot table'!$D$4:$D$6</c:f>
              <c:strCache>
                <c:ptCount val="2"/>
                <c:pt idx="0">
                  <c:v>Monthly</c:v>
                </c:pt>
                <c:pt idx="1">
                  <c:v>Yearly</c:v>
                </c:pt>
              </c:strCache>
            </c:strRef>
          </c:cat>
          <c:val>
            <c:numRef>
              <c:f>'Pivot table'!$E$4:$E$6</c:f>
              <c:numCache>
                <c:formatCode>General</c:formatCode>
                <c:ptCount val="2"/>
                <c:pt idx="0">
                  <c:v>432000</c:v>
                </c:pt>
                <c:pt idx="1">
                  <c:v>422000</c:v>
                </c:pt>
              </c:numCache>
            </c:numRef>
          </c:val>
          <c:extLst>
            <c:ext xmlns:c16="http://schemas.microsoft.com/office/drawing/2014/chart" uri="{C3380CC4-5D6E-409C-BE32-E72D297353CC}">
              <c16:uniqueId val="{00000002-4AD0-43F7-B927-9E96B69A377C}"/>
            </c:ext>
          </c:extLst>
        </c:ser>
        <c:dLbls>
          <c:showLegendKey val="0"/>
          <c:showVal val="0"/>
          <c:showCatName val="0"/>
          <c:showSerName val="0"/>
          <c:showPercent val="0"/>
          <c:showBubbleSize val="0"/>
        </c:dLbls>
        <c:gapWidth val="150"/>
        <c:overlap val="100"/>
        <c:axId val="1274081311"/>
        <c:axId val="1791335327"/>
      </c:barChart>
      <c:catAx>
        <c:axId val="127408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35327"/>
        <c:crosses val="autoZero"/>
        <c:auto val="1"/>
        <c:lblAlgn val="ctr"/>
        <c:lblOffset val="100"/>
        <c:noMultiLvlLbl val="0"/>
      </c:catAx>
      <c:valAx>
        <c:axId val="179133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8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[gym_membership_dashboard.xlsx]Pivot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Top</a:t>
            </a:r>
            <a:r>
              <a:rPr lang="en-US" sz="1500" b="1" baseline="0"/>
              <a:t> Cities By Revenue</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7E14"/>
          </a:solidFill>
          <a:ln>
            <a:noFill/>
          </a:ln>
          <a:effectLst/>
        </c:spPr>
      </c:pivotFmt>
      <c:pivotFmt>
        <c:idx val="4"/>
        <c:spPr>
          <a:solidFill>
            <a:srgbClr val="28A745"/>
          </a:solidFill>
          <a:ln>
            <a:noFill/>
          </a:ln>
          <a:effectLst/>
        </c:spPr>
      </c:pivotFmt>
      <c:pivotFmt>
        <c:idx val="5"/>
        <c:spPr>
          <a:solidFill>
            <a:schemeClr val="accent4"/>
          </a:solidFill>
          <a:ln>
            <a:noFill/>
          </a:ln>
          <a:effectLst/>
        </c:spPr>
      </c:pivotFmt>
    </c:pivotFmts>
    <c:plotArea>
      <c:layout/>
      <c:barChart>
        <c:barDir val="bar"/>
        <c:grouping val="clustered"/>
        <c:varyColors val="0"/>
        <c:ser>
          <c:idx val="0"/>
          <c:order val="0"/>
          <c:tx>
            <c:strRef>
              <c:f>'Pivot table'!$E$11</c:f>
              <c:strCache>
                <c:ptCount val="1"/>
                <c:pt idx="0">
                  <c:v>Total</c:v>
                </c:pt>
              </c:strCache>
            </c:strRef>
          </c:tx>
          <c:spPr>
            <a:solidFill>
              <a:schemeClr val="accent1"/>
            </a:solidFill>
            <a:ln>
              <a:noFill/>
            </a:ln>
            <a:effectLst/>
          </c:spPr>
          <c:invertIfNegative val="0"/>
          <c:dPt>
            <c:idx val="1"/>
            <c:invertIfNegative val="0"/>
            <c:bubble3D val="0"/>
            <c:spPr>
              <a:solidFill>
                <a:schemeClr val="accent4"/>
              </a:solidFill>
              <a:ln>
                <a:noFill/>
              </a:ln>
              <a:effectLst/>
            </c:spPr>
            <c:extLst>
              <c:ext xmlns:c16="http://schemas.microsoft.com/office/drawing/2014/chart" uri="{C3380CC4-5D6E-409C-BE32-E72D297353CC}">
                <c16:uniqueId val="{00000001-CC14-4D66-AEB4-0CCA5023FDBB}"/>
              </c:ext>
            </c:extLst>
          </c:dPt>
          <c:dPt>
            <c:idx val="2"/>
            <c:invertIfNegative val="0"/>
            <c:bubble3D val="0"/>
            <c:spPr>
              <a:solidFill>
                <a:srgbClr val="28A745"/>
              </a:solidFill>
              <a:ln>
                <a:noFill/>
              </a:ln>
              <a:effectLst/>
            </c:spPr>
            <c:extLst>
              <c:ext xmlns:c16="http://schemas.microsoft.com/office/drawing/2014/chart" uri="{C3380CC4-5D6E-409C-BE32-E72D297353CC}">
                <c16:uniqueId val="{00000003-CC14-4D66-AEB4-0CCA5023FDBB}"/>
              </c:ext>
            </c:extLst>
          </c:dPt>
          <c:dPt>
            <c:idx val="3"/>
            <c:invertIfNegative val="0"/>
            <c:bubble3D val="0"/>
            <c:spPr>
              <a:solidFill>
                <a:srgbClr val="FD7E14"/>
              </a:solidFill>
              <a:ln>
                <a:noFill/>
              </a:ln>
              <a:effectLst/>
            </c:spPr>
            <c:extLst>
              <c:ext xmlns:c16="http://schemas.microsoft.com/office/drawing/2014/chart" uri="{C3380CC4-5D6E-409C-BE32-E72D297353CC}">
                <c16:uniqueId val="{00000005-CC14-4D66-AEB4-0CCA5023FDBB}"/>
              </c:ext>
            </c:extLst>
          </c:dPt>
          <c:cat>
            <c:strRef>
              <c:f>'Pivot table'!$D$12:$D$17</c:f>
              <c:strCache>
                <c:ptCount val="5"/>
                <c:pt idx="0">
                  <c:v>Delhi</c:v>
                </c:pt>
                <c:pt idx="1">
                  <c:v>Faridabad</c:v>
                </c:pt>
                <c:pt idx="2">
                  <c:v>Ghaziabad</c:v>
                </c:pt>
                <c:pt idx="3">
                  <c:v>Gurgaon</c:v>
                </c:pt>
                <c:pt idx="4">
                  <c:v>Noida</c:v>
                </c:pt>
              </c:strCache>
            </c:strRef>
          </c:cat>
          <c:val>
            <c:numRef>
              <c:f>'Pivot table'!$E$12:$E$17</c:f>
              <c:numCache>
                <c:formatCode>General</c:formatCode>
                <c:ptCount val="5"/>
                <c:pt idx="0">
                  <c:v>185000</c:v>
                </c:pt>
                <c:pt idx="1">
                  <c:v>136000</c:v>
                </c:pt>
                <c:pt idx="2">
                  <c:v>248000</c:v>
                </c:pt>
                <c:pt idx="3">
                  <c:v>81000</c:v>
                </c:pt>
                <c:pt idx="4">
                  <c:v>204000</c:v>
                </c:pt>
              </c:numCache>
            </c:numRef>
          </c:val>
          <c:extLst>
            <c:ext xmlns:c16="http://schemas.microsoft.com/office/drawing/2014/chart" uri="{C3380CC4-5D6E-409C-BE32-E72D297353CC}">
              <c16:uniqueId val="{00000004-20EC-43D5-A651-EE29A1E74045}"/>
            </c:ext>
          </c:extLst>
        </c:ser>
        <c:dLbls>
          <c:showLegendKey val="0"/>
          <c:showVal val="0"/>
          <c:showCatName val="0"/>
          <c:showSerName val="0"/>
          <c:showPercent val="0"/>
          <c:showBubbleSize val="0"/>
        </c:dLbls>
        <c:gapWidth val="182"/>
        <c:axId val="343623887"/>
        <c:axId val="343612367"/>
      </c:barChart>
      <c:catAx>
        <c:axId val="34362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12367"/>
        <c:crosses val="autoZero"/>
        <c:auto val="1"/>
        <c:lblAlgn val="ctr"/>
        <c:lblOffset val="100"/>
        <c:noMultiLvlLbl val="0"/>
      </c:catAx>
      <c:valAx>
        <c:axId val="343612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2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[gym_membership_dashboard.xlsx]Pivot table!PivotTable4</c:name>
    <c:fmtId val="15"/>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t>Most</a:t>
            </a:r>
            <a:r>
              <a:rPr lang="en-US" sz="1500" b="1" baseline="0"/>
              <a:t> Popular Classes</a:t>
            </a:r>
            <a:endParaRPr lang="en-US" sz="1500" b="1"/>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42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F42C1"/>
          </a:solidFill>
          <a:ln>
            <a:noFill/>
          </a:ln>
          <a:effectLst/>
        </c:spPr>
      </c:pivotFmt>
    </c:pivotFmts>
    <c:plotArea>
      <c:layout/>
      <c:barChart>
        <c:barDir val="col"/>
        <c:grouping val="clustered"/>
        <c:varyColors val="0"/>
        <c:ser>
          <c:idx val="0"/>
          <c:order val="0"/>
          <c:tx>
            <c:strRef>
              <c:f>'Pivot table'!$H$11</c:f>
              <c:strCache>
                <c:ptCount val="1"/>
                <c:pt idx="0">
                  <c:v>Total</c:v>
                </c:pt>
              </c:strCache>
            </c:strRef>
          </c:tx>
          <c:spPr>
            <a:solidFill>
              <a:srgbClr val="6F42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table'!$G$12:$G$16</c:f>
              <c:strCache>
                <c:ptCount val="4"/>
                <c:pt idx="0">
                  <c:v>Pilates</c:v>
                </c:pt>
                <c:pt idx="1">
                  <c:v>Functional Training</c:v>
                </c:pt>
                <c:pt idx="2">
                  <c:v>Mobility</c:v>
                </c:pt>
                <c:pt idx="3">
                  <c:v>Strength Training</c:v>
                </c:pt>
              </c:strCache>
            </c:strRef>
          </c:cat>
          <c:val>
            <c:numRef>
              <c:f>'Pivot table'!$H$12:$H$16</c:f>
              <c:numCache>
                <c:formatCode>General</c:formatCode>
                <c:ptCount val="4"/>
                <c:pt idx="0">
                  <c:v>108</c:v>
                </c:pt>
                <c:pt idx="1">
                  <c:v>107</c:v>
                </c:pt>
                <c:pt idx="2">
                  <c:v>76</c:v>
                </c:pt>
                <c:pt idx="3">
                  <c:v>72</c:v>
                </c:pt>
              </c:numCache>
            </c:numRef>
          </c:val>
          <c:extLst>
            <c:ext xmlns:c16="http://schemas.microsoft.com/office/drawing/2014/chart" uri="{C3380CC4-5D6E-409C-BE32-E72D297353CC}">
              <c16:uniqueId val="{00000000-C151-4C1E-9FFD-7B8C677748AB}"/>
            </c:ext>
          </c:extLst>
        </c:ser>
        <c:dLbls>
          <c:showLegendKey val="0"/>
          <c:showVal val="0"/>
          <c:showCatName val="0"/>
          <c:showSerName val="0"/>
          <c:showPercent val="0"/>
          <c:showBubbleSize val="0"/>
        </c:dLbls>
        <c:gapWidth val="219"/>
        <c:overlap val="-27"/>
        <c:axId val="117100543"/>
        <c:axId val="117100063"/>
      </c:barChart>
      <c:catAx>
        <c:axId val="11710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00063"/>
        <c:crosses val="autoZero"/>
        <c:auto val="1"/>
        <c:lblAlgn val="ctr"/>
        <c:lblOffset val="100"/>
        <c:noMultiLvlLbl val="0"/>
      </c:catAx>
      <c:valAx>
        <c:axId val="117100063"/>
        <c:scaling>
          <c:orientation val="minMax"/>
        </c:scaling>
        <c:delete val="1"/>
        <c:axPos val="l"/>
        <c:numFmt formatCode="General" sourceLinked="1"/>
        <c:majorTickMark val="none"/>
        <c:minorTickMark val="none"/>
        <c:tickLblPos val="nextTo"/>
        <c:crossAx val="11710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424543</xdr:colOff>
      <xdr:row>16</xdr:row>
      <xdr:rowOff>39189</xdr:rowOff>
    </xdr:from>
    <xdr:to>
      <xdr:col>10</xdr:col>
      <xdr:colOff>587830</xdr:colOff>
      <xdr:row>29</xdr:row>
      <xdr:rowOff>0</xdr:rowOff>
    </xdr:to>
    <xdr:graphicFrame macro="">
      <xdr:nvGraphicFramePr>
        <xdr:cNvPr id="2" name="Chart 1">
          <a:extLst>
            <a:ext uri="{FF2B5EF4-FFF2-40B4-BE49-F238E27FC236}">
              <a16:creationId xmlns:a16="http://schemas.microsoft.com/office/drawing/2014/main" id="{9DD5D5B0-10C3-411C-8F9D-3D03BAFA7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16</xdr:row>
      <xdr:rowOff>65315</xdr:rowOff>
    </xdr:from>
    <xdr:to>
      <xdr:col>18</xdr:col>
      <xdr:colOff>598714</xdr:colOff>
      <xdr:row>28</xdr:row>
      <xdr:rowOff>174173</xdr:rowOff>
    </xdr:to>
    <xdr:graphicFrame macro="">
      <xdr:nvGraphicFramePr>
        <xdr:cNvPr id="3" name="Chart 2">
          <a:extLst>
            <a:ext uri="{FF2B5EF4-FFF2-40B4-BE49-F238E27FC236}">
              <a16:creationId xmlns:a16="http://schemas.microsoft.com/office/drawing/2014/main" id="{48F97A7B-1B84-4D7E-8AA3-C9DB3F55F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413656</xdr:colOff>
      <xdr:row>29</xdr:row>
      <xdr:rowOff>141515</xdr:rowOff>
    </xdr:from>
    <xdr:to>
      <xdr:col>6</xdr:col>
      <xdr:colOff>21771</xdr:colOff>
      <xdr:row>42</xdr:row>
      <xdr:rowOff>0</xdr:rowOff>
    </xdr:to>
    <xdr:graphicFrame macro="">
      <xdr:nvGraphicFramePr>
        <xdr:cNvPr id="4" name="Chart 3">
          <a:extLst>
            <a:ext uri="{FF2B5EF4-FFF2-40B4-BE49-F238E27FC236}">
              <a16:creationId xmlns:a16="http://schemas.microsoft.com/office/drawing/2014/main" id="{55269911-0DE6-48FE-B08E-4A8C80013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348343</xdr:colOff>
      <xdr:row>29</xdr:row>
      <xdr:rowOff>152401</xdr:rowOff>
    </xdr:from>
    <xdr:to>
      <xdr:col>11</xdr:col>
      <xdr:colOff>315686</xdr:colOff>
      <xdr:row>42</xdr:row>
      <xdr:rowOff>10886</xdr:rowOff>
    </xdr:to>
    <xdr:graphicFrame macro="">
      <xdr:nvGraphicFramePr>
        <xdr:cNvPr id="5" name="Chart 4">
          <a:extLst>
            <a:ext uri="{FF2B5EF4-FFF2-40B4-BE49-F238E27FC236}">
              <a16:creationId xmlns:a16="http://schemas.microsoft.com/office/drawing/2014/main" id="{48202278-26F9-4641-9717-541B62C01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266700</xdr:colOff>
      <xdr:row>3</xdr:row>
      <xdr:rowOff>83820</xdr:rowOff>
    </xdr:from>
    <xdr:to>
      <xdr:col>4</xdr:col>
      <xdr:colOff>449580</xdr:colOff>
      <xdr:row>8</xdr:row>
      <xdr:rowOff>137160</xdr:rowOff>
    </xdr:to>
    <xdr:sp macro="" textlink="'Pivot table'!B21">
      <xdr:nvSpPr>
        <xdr:cNvPr id="15" name="Rectangle: Rounded Corners 14">
          <a:extLst>
            <a:ext uri="{FF2B5EF4-FFF2-40B4-BE49-F238E27FC236}">
              <a16:creationId xmlns:a16="http://schemas.microsoft.com/office/drawing/2014/main" id="{73283DE0-1796-6863-7BA1-4C04791A8BAB}"/>
            </a:ext>
          </a:extLst>
        </xdr:cNvPr>
        <xdr:cNvSpPr/>
      </xdr:nvSpPr>
      <xdr:spPr>
        <a:xfrm>
          <a:off x="266700" y="746760"/>
          <a:ext cx="2621280" cy="967740"/>
        </a:xfrm>
        <a:prstGeom prst="roundRect">
          <a:avLst/>
        </a:prstGeom>
        <a:solidFill>
          <a:srgbClr val="28A74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Total Revenue</a:t>
          </a:r>
        </a:p>
        <a:p>
          <a:pPr algn="ctr"/>
          <a:fld id="{D183D743-2548-4B0E-A618-C5AD9BFD9BA0}" type="TxLink">
            <a:rPr lang="en-US" sz="1600" b="1" i="0" u="none" strike="noStrike">
              <a:solidFill>
                <a:schemeClr val="bg1"/>
              </a:solidFill>
              <a:latin typeface="Calibri"/>
              <a:ea typeface="Calibri"/>
              <a:cs typeface="Calibri"/>
            </a:rPr>
            <a:pPr algn="ctr"/>
            <a:t> $8,54,000.00 </a:t>
          </a:fld>
          <a:endParaRPr lang="en-US" sz="1600" b="1">
            <a:solidFill>
              <a:schemeClr val="bg1"/>
            </a:solidFill>
          </a:endParaRPr>
        </a:p>
      </xdr:txBody>
    </xdr:sp>
    <xdr:clientData/>
  </xdr:twoCellAnchor>
  <xdr:twoCellAnchor>
    <xdr:from>
      <xdr:col>5</xdr:col>
      <xdr:colOff>205740</xdr:colOff>
      <xdr:row>3</xdr:row>
      <xdr:rowOff>91440</xdr:rowOff>
    </xdr:from>
    <xdr:to>
      <xdr:col>9</xdr:col>
      <xdr:colOff>388620</xdr:colOff>
      <xdr:row>8</xdr:row>
      <xdr:rowOff>144780</xdr:rowOff>
    </xdr:to>
    <xdr:sp macro="" textlink="'Pivot table'!D21">
      <xdr:nvSpPr>
        <xdr:cNvPr id="17" name="Rectangle: Rounded Corners 16">
          <a:extLst>
            <a:ext uri="{FF2B5EF4-FFF2-40B4-BE49-F238E27FC236}">
              <a16:creationId xmlns:a16="http://schemas.microsoft.com/office/drawing/2014/main" id="{54EF177E-E67B-DBA4-2306-57BD91C72753}"/>
            </a:ext>
          </a:extLst>
        </xdr:cNvPr>
        <xdr:cNvSpPr/>
      </xdr:nvSpPr>
      <xdr:spPr>
        <a:xfrm>
          <a:off x="3253740" y="640080"/>
          <a:ext cx="2621280" cy="967740"/>
        </a:xfrm>
        <a:prstGeom prst="roundRect">
          <a:avLst/>
        </a:prstGeom>
        <a:solidFill>
          <a:srgbClr val="007B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baseline="0">
              <a:solidFill>
                <a:schemeClr val="bg1"/>
              </a:solidFill>
              <a:latin typeface="Calibri"/>
              <a:ea typeface="Calibri"/>
              <a:cs typeface="Calibri"/>
            </a:rPr>
            <a:t>Total Members</a:t>
          </a:r>
        </a:p>
        <a:p>
          <a:pPr algn="ctr"/>
          <a:fld id="{83A855A0-EF82-42FE-BEAD-29A6BE47AA19}" type="TxLink">
            <a:rPr lang="en-US" sz="1600" b="1" i="0" u="none" strike="noStrike" baseline="0">
              <a:solidFill>
                <a:schemeClr val="bg1"/>
              </a:solidFill>
              <a:latin typeface="Calibri"/>
              <a:ea typeface="Calibri"/>
              <a:cs typeface="Calibri"/>
            </a:rPr>
            <a:pPr algn="ctr"/>
            <a:t>129</a:t>
          </a:fld>
          <a:endParaRPr lang="en-IN" sz="1600" b="1" baseline="0">
            <a:solidFill>
              <a:schemeClr val="bg1"/>
            </a:solidFill>
          </a:endParaRPr>
        </a:p>
      </xdr:txBody>
    </xdr:sp>
    <xdr:clientData/>
  </xdr:twoCellAnchor>
  <xdr:twoCellAnchor>
    <xdr:from>
      <xdr:col>10</xdr:col>
      <xdr:colOff>167640</xdr:colOff>
      <xdr:row>3</xdr:row>
      <xdr:rowOff>83820</xdr:rowOff>
    </xdr:from>
    <xdr:to>
      <xdr:col>14</xdr:col>
      <xdr:colOff>350520</xdr:colOff>
      <xdr:row>8</xdr:row>
      <xdr:rowOff>137160</xdr:rowOff>
    </xdr:to>
    <xdr:sp macro="" textlink="'Pivot table'!G21">
      <xdr:nvSpPr>
        <xdr:cNvPr id="18" name="Rectangle: Rounded Corners 17">
          <a:extLst>
            <a:ext uri="{FF2B5EF4-FFF2-40B4-BE49-F238E27FC236}">
              <a16:creationId xmlns:a16="http://schemas.microsoft.com/office/drawing/2014/main" id="{0562E828-06CE-A2D3-AED2-45081BB89231}"/>
            </a:ext>
          </a:extLst>
        </xdr:cNvPr>
        <xdr:cNvSpPr/>
      </xdr:nvSpPr>
      <xdr:spPr>
        <a:xfrm>
          <a:off x="6263640" y="747849"/>
          <a:ext cx="2621280" cy="978625"/>
        </a:xfrm>
        <a:prstGeom prst="roundRect">
          <a:avLst/>
        </a:prstGeom>
        <a:solidFill>
          <a:srgbClr val="FD7E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i="0" u="none" strike="noStrike">
              <a:solidFill>
                <a:schemeClr val="bg1"/>
              </a:solidFill>
              <a:latin typeface="Calibri"/>
              <a:ea typeface="Calibri"/>
              <a:cs typeface="Calibri"/>
            </a:rPr>
            <a:t>Total Classes</a:t>
          </a:r>
          <a:r>
            <a:rPr lang="en-US" sz="1600" b="1" i="0" u="none" strike="noStrike" baseline="0">
              <a:solidFill>
                <a:schemeClr val="bg1"/>
              </a:solidFill>
              <a:latin typeface="Calibri"/>
              <a:ea typeface="Calibri"/>
              <a:cs typeface="Calibri"/>
            </a:rPr>
            <a:t> Offered</a:t>
          </a:r>
        </a:p>
        <a:p>
          <a:pPr algn="ctr"/>
          <a:r>
            <a:rPr lang="en-US" sz="1600" b="1" i="0" u="none" strike="noStrike" baseline="0">
              <a:solidFill>
                <a:schemeClr val="bg1"/>
              </a:solidFill>
              <a:latin typeface="Calibri"/>
              <a:ea typeface="Calibri"/>
              <a:cs typeface="Calibri"/>
            </a:rPr>
            <a:t>        </a:t>
          </a:r>
          <a:fld id="{D0EB17BB-80D0-4709-A445-BE2FAD3ED940}" type="TxLink">
            <a:rPr lang="en-US" sz="1600" b="1" i="0" u="none" strike="noStrike">
              <a:solidFill>
                <a:schemeClr val="bg1"/>
              </a:solidFill>
              <a:latin typeface="Calibri"/>
              <a:ea typeface="Calibri"/>
              <a:cs typeface="Calibri"/>
            </a:rPr>
            <a:pPr algn="ctr"/>
            <a:t>20</a:t>
          </a:fld>
          <a:endParaRPr lang="en-US" sz="1600" b="1" i="0" u="none" strike="noStrike">
            <a:solidFill>
              <a:schemeClr val="bg1"/>
            </a:solidFill>
            <a:latin typeface="Calibri"/>
            <a:ea typeface="Calibri"/>
            <a:cs typeface="Calibri"/>
          </a:endParaRPr>
        </a:p>
      </xdr:txBody>
    </xdr:sp>
    <xdr:clientData/>
  </xdr:twoCellAnchor>
  <xdr:twoCellAnchor>
    <xdr:from>
      <xdr:col>15</xdr:col>
      <xdr:colOff>205740</xdr:colOff>
      <xdr:row>3</xdr:row>
      <xdr:rowOff>76200</xdr:rowOff>
    </xdr:from>
    <xdr:to>
      <xdr:col>19</xdr:col>
      <xdr:colOff>388620</xdr:colOff>
      <xdr:row>8</xdr:row>
      <xdr:rowOff>129540</xdr:rowOff>
    </xdr:to>
    <xdr:sp macro="" textlink="'Pivot table'!D25">
      <xdr:nvSpPr>
        <xdr:cNvPr id="19" name="Rectangle: Rounded Corners 18">
          <a:extLst>
            <a:ext uri="{FF2B5EF4-FFF2-40B4-BE49-F238E27FC236}">
              <a16:creationId xmlns:a16="http://schemas.microsoft.com/office/drawing/2014/main" id="{B1DC6861-3E6D-304F-915F-169A4067ECF9}"/>
            </a:ext>
          </a:extLst>
        </xdr:cNvPr>
        <xdr:cNvSpPr/>
      </xdr:nvSpPr>
      <xdr:spPr>
        <a:xfrm>
          <a:off x="9349740" y="733425"/>
          <a:ext cx="2621280" cy="958215"/>
        </a:xfrm>
        <a:prstGeom prst="roundRect">
          <a:avLst/>
        </a:prstGeom>
        <a:solidFill>
          <a:srgbClr val="6F42C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baseline="0">
              <a:solidFill>
                <a:schemeClr val="bg1"/>
              </a:solidFill>
              <a:latin typeface="Calibri"/>
              <a:ea typeface="Calibri"/>
              <a:cs typeface="Calibri"/>
            </a:rPr>
            <a:t>Avg Attendance</a:t>
          </a:r>
        </a:p>
        <a:p>
          <a:pPr algn="ctr"/>
          <a:fld id="{AE31FE87-4654-46E2-A94A-492DF1AFA359}" type="TxLink">
            <a:rPr lang="en-US" sz="1600" b="1" i="0" u="none" strike="noStrike" baseline="0">
              <a:solidFill>
                <a:schemeClr val="bg1"/>
              </a:solidFill>
              <a:latin typeface="Calibri"/>
              <a:ea typeface="Calibri"/>
              <a:cs typeface="Calibri"/>
            </a:rPr>
            <a:pPr algn="ctr"/>
            <a:t>26.1</a:t>
          </a:fld>
          <a:endParaRPr lang="en-US" sz="1600" b="1" i="0" u="none" strike="noStrike" baseline="0">
            <a:solidFill>
              <a:schemeClr val="bg1"/>
            </a:solidFill>
            <a:latin typeface="Calibri"/>
            <a:ea typeface="Calibri"/>
            <a:cs typeface="Calibri"/>
          </a:endParaRPr>
        </a:p>
      </xdr:txBody>
    </xdr:sp>
    <xdr:clientData/>
  </xdr:twoCellAnchor>
  <xdr:twoCellAnchor>
    <xdr:from>
      <xdr:col>0</xdr:col>
      <xdr:colOff>266700</xdr:colOff>
      <xdr:row>9</xdr:row>
      <xdr:rowOff>175260</xdr:rowOff>
    </xdr:from>
    <xdr:to>
      <xdr:col>19</xdr:col>
      <xdr:colOff>381000</xdr:colOff>
      <xdr:row>15</xdr:row>
      <xdr:rowOff>91440</xdr:rowOff>
    </xdr:to>
    <xdr:sp macro="" textlink="">
      <xdr:nvSpPr>
        <xdr:cNvPr id="7" name="Rectangle: Rounded Corners 6">
          <a:extLst>
            <a:ext uri="{FF2B5EF4-FFF2-40B4-BE49-F238E27FC236}">
              <a16:creationId xmlns:a16="http://schemas.microsoft.com/office/drawing/2014/main" id="{18734DE5-C0FB-BB4D-365D-953039CACC76}"/>
            </a:ext>
          </a:extLst>
        </xdr:cNvPr>
        <xdr:cNvSpPr/>
      </xdr:nvSpPr>
      <xdr:spPr>
        <a:xfrm>
          <a:off x="266700" y="1935480"/>
          <a:ext cx="11696700" cy="1013460"/>
        </a:xfrm>
        <a:prstGeom prst="roundRect">
          <a:avLst/>
        </a:prstGeom>
        <a:solidFill>
          <a:schemeClr val="bg1">
            <a:lumMod val="95000"/>
          </a:schemeClr>
        </a:solidFill>
        <a:ln>
          <a:solidFill>
            <a:srgbClr val="BFBF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22859</xdr:colOff>
      <xdr:row>10</xdr:row>
      <xdr:rowOff>99060</xdr:rowOff>
    </xdr:from>
    <xdr:to>
      <xdr:col>19</xdr:col>
      <xdr:colOff>250370</xdr:colOff>
      <xdr:row>14</xdr:row>
      <xdr:rowOff>129540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677F083F-B859-444F-A125-3C455BC1716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38059" y="2058489"/>
              <a:ext cx="4494711" cy="770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541020</xdr:colOff>
      <xdr:row>10</xdr:row>
      <xdr:rowOff>106681</xdr:rowOff>
    </xdr:from>
    <xdr:to>
      <xdr:col>11</xdr:col>
      <xdr:colOff>30480</xdr:colOff>
      <xdr:row>14</xdr:row>
      <xdr:rowOff>138781</xdr:rowOff>
    </xdr:to>
    <mc:AlternateContent xmlns:mc="http://schemas.openxmlformats.org/markup-compatibility/2006" xmlns:a14="http://schemas.microsoft.com/office/drawing/2010/main">
      <mc:Choice Requires="a14">
        <xdr:graphicFrame macro="">
          <xdr:nvGraphicFramePr>
            <xdr:cNvPr id="9" name="membership_type">
              <a:extLst>
                <a:ext uri="{FF2B5EF4-FFF2-40B4-BE49-F238E27FC236}">
                  <a16:creationId xmlns:a16="http://schemas.microsoft.com/office/drawing/2014/main" id="{0A07AD18-C5D2-46F8-B832-9B5BBFC28BF7}"/>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mlns="">
        <xdr:sp macro="" textlink="">
          <xdr:nvSpPr>
            <xdr:cNvPr id="0" name=""/>
            <xdr:cNvSpPr>
              <a:spLocks noTextEdit="1"/>
            </xdr:cNvSpPr>
          </xdr:nvSpPr>
          <xdr:spPr>
            <a:xfrm>
              <a:off x="3589020" y="2066110"/>
              <a:ext cx="3147060" cy="772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424543</xdr:colOff>
      <xdr:row>10</xdr:row>
      <xdr:rowOff>106680</xdr:rowOff>
    </xdr:from>
    <xdr:to>
      <xdr:col>4</xdr:col>
      <xdr:colOff>579120</xdr:colOff>
      <xdr:row>14</xdr:row>
      <xdr:rowOff>138780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A8C85EC2-2CEC-4A70-88E7-1C287BF4DD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4543" y="2066109"/>
              <a:ext cx="2592977" cy="772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388620</xdr:colOff>
      <xdr:row>5</xdr:row>
      <xdr:rowOff>7620</xdr:rowOff>
    </xdr:from>
    <xdr:to>
      <xdr:col>1</xdr:col>
      <xdr:colOff>320040</xdr:colOff>
      <xdr:row>7</xdr:row>
      <xdr:rowOff>68580</xdr:rowOff>
    </xdr:to>
    <xdr:pic>
      <xdr:nvPicPr>
        <xdr:cNvPr id="13" name="Graphic 12" descr="Coins with solid fill">
          <a:extLst>
            <a:ext uri="{FF2B5EF4-FFF2-40B4-BE49-F238E27FC236}">
              <a16:creationId xmlns:a16="http://schemas.microsoft.com/office/drawing/2014/main" id="{8F584806-7624-4370-8C5F-3AED4A9083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8620" y="1036320"/>
          <a:ext cx="541020" cy="426720"/>
        </a:xfrm>
        <a:prstGeom prst="rect">
          <a:avLst/>
        </a:prstGeom>
      </xdr:spPr>
    </xdr:pic>
    <xdr:clientData/>
  </xdr:twoCellAnchor>
  <xdr:twoCellAnchor editAs="oneCell">
    <xdr:from>
      <xdr:col>5</xdr:col>
      <xdr:colOff>381000</xdr:colOff>
      <xdr:row>5</xdr:row>
      <xdr:rowOff>0</xdr:rowOff>
    </xdr:from>
    <xdr:to>
      <xdr:col>6</xdr:col>
      <xdr:colOff>228600</xdr:colOff>
      <xdr:row>7</xdr:row>
      <xdr:rowOff>91440</xdr:rowOff>
    </xdr:to>
    <xdr:pic>
      <xdr:nvPicPr>
        <xdr:cNvPr id="16" name="Graphic 15" descr="Users with solid fill">
          <a:extLst>
            <a:ext uri="{FF2B5EF4-FFF2-40B4-BE49-F238E27FC236}">
              <a16:creationId xmlns:a16="http://schemas.microsoft.com/office/drawing/2014/main" id="{B55721F8-429D-AFD8-36D4-AD14E249EE9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29000" y="1028700"/>
          <a:ext cx="457200" cy="457200"/>
        </a:xfrm>
        <a:prstGeom prst="rect">
          <a:avLst/>
        </a:prstGeom>
      </xdr:spPr>
    </xdr:pic>
    <xdr:clientData/>
  </xdr:twoCellAnchor>
  <xdr:twoCellAnchor editAs="oneCell">
    <xdr:from>
      <xdr:col>15</xdr:col>
      <xdr:colOff>390525</xdr:colOff>
      <xdr:row>5</xdr:row>
      <xdr:rowOff>0</xdr:rowOff>
    </xdr:from>
    <xdr:to>
      <xdr:col>16</xdr:col>
      <xdr:colOff>133350</xdr:colOff>
      <xdr:row>6</xdr:row>
      <xdr:rowOff>171450</xdr:rowOff>
    </xdr:to>
    <xdr:pic>
      <xdr:nvPicPr>
        <xdr:cNvPr id="21" name="Graphic 20" descr="Checkmark with solid fill">
          <a:extLst>
            <a:ext uri="{FF2B5EF4-FFF2-40B4-BE49-F238E27FC236}">
              <a16:creationId xmlns:a16="http://schemas.microsoft.com/office/drawing/2014/main" id="{C685FAEE-8A16-44B4-0F0A-C912703B417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534525" y="1019175"/>
          <a:ext cx="352425" cy="352425"/>
        </a:xfrm>
        <a:prstGeom prst="rect">
          <a:avLst/>
        </a:prstGeom>
      </xdr:spPr>
    </xdr:pic>
    <xdr:clientData/>
  </xdr:twoCellAnchor>
  <xdr:twoCellAnchor editAs="oneCell">
    <xdr:from>
      <xdr:col>10</xdr:col>
      <xdr:colOff>370114</xdr:colOff>
      <xdr:row>4</xdr:row>
      <xdr:rowOff>141514</xdr:rowOff>
    </xdr:from>
    <xdr:to>
      <xdr:col>11</xdr:col>
      <xdr:colOff>261257</xdr:colOff>
      <xdr:row>7</xdr:row>
      <xdr:rowOff>87086</xdr:rowOff>
    </xdr:to>
    <xdr:pic>
      <xdr:nvPicPr>
        <xdr:cNvPr id="25" name="Graphic 24" descr="Body builder with solid fill">
          <a:extLst>
            <a:ext uri="{FF2B5EF4-FFF2-40B4-BE49-F238E27FC236}">
              <a16:creationId xmlns:a16="http://schemas.microsoft.com/office/drawing/2014/main" id="{6DE5F7AE-1F26-65EF-3230-939306CC935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66114" y="990600"/>
          <a:ext cx="500743" cy="500743"/>
        </a:xfrm>
        <a:prstGeom prst="rect">
          <a:avLst/>
        </a:prstGeom>
      </xdr:spPr>
    </xdr:pic>
    <xdr:clientData/>
  </xdr:twoCellAnchor>
  <xdr:twoCellAnchor>
    <xdr:from>
      <xdr:col>12</xdr:col>
      <xdr:colOff>0</xdr:colOff>
      <xdr:row>29</xdr:row>
      <xdr:rowOff>174172</xdr:rowOff>
    </xdr:from>
    <xdr:to>
      <xdr:col>18</xdr:col>
      <xdr:colOff>587829</xdr:colOff>
      <xdr:row>42</xdr:row>
      <xdr:rowOff>10886</xdr:rowOff>
    </xdr:to>
    <xdr:sp macro="" textlink="">
      <xdr:nvSpPr>
        <xdr:cNvPr id="6" name="Rectangle: Rounded Corners 5">
          <a:extLst>
            <a:ext uri="{FF2B5EF4-FFF2-40B4-BE49-F238E27FC236}">
              <a16:creationId xmlns:a16="http://schemas.microsoft.com/office/drawing/2014/main" id="{859D1EDA-7716-CC1D-F9EE-5BA6AD4745D4}"/>
            </a:ext>
          </a:extLst>
        </xdr:cNvPr>
        <xdr:cNvSpPr/>
      </xdr:nvSpPr>
      <xdr:spPr>
        <a:xfrm>
          <a:off x="7315200" y="5649686"/>
          <a:ext cx="4245429" cy="2242457"/>
        </a:xfrm>
        <a:prstGeom prst="roundRect">
          <a:avLst>
            <a:gd name="adj" fmla="val 5017"/>
          </a:avLst>
        </a:prstGeom>
        <a:solidFill>
          <a:schemeClr val="bg1"/>
        </a:solidFill>
        <a:ln w="6350">
          <a:solidFill>
            <a:srgbClr val="BFBFB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100"/>
            <a:t>                                        </a:t>
          </a:r>
          <a:r>
            <a:rPr lang="en-IN" sz="1500" b="1"/>
            <a:t> Business Insights  </a:t>
          </a:r>
        </a:p>
        <a:p>
          <a:r>
            <a:rPr lang="en-IN" sz="1150" b="1"/>
            <a:t>.</a:t>
          </a:r>
          <a:r>
            <a:rPr lang="en-IN" sz="1150"/>
            <a:t> Total revenue generated from gym memberships is </a:t>
          </a:r>
          <a:r>
            <a:rPr lang="en-IN" sz="1150" b="1"/>
            <a:t>₹8,54,000</a:t>
          </a:r>
          <a:r>
            <a:rPr lang="en-IN" sz="1150"/>
            <a:t>.. </a:t>
          </a:r>
        </a:p>
        <a:p>
          <a:r>
            <a:rPr lang="en-IN" sz="1150" b="1">
              <a:solidFill>
                <a:schemeClr val="dk1"/>
              </a:solidFill>
              <a:effectLst/>
              <a:latin typeface="+mn-lt"/>
              <a:ea typeface="+mn-ea"/>
              <a:cs typeface="+mn-cs"/>
            </a:rPr>
            <a:t>.</a:t>
          </a:r>
          <a:r>
            <a:rPr lang="en-IN" sz="1150"/>
            <a:t> The gym has </a:t>
          </a:r>
          <a:r>
            <a:rPr lang="en-IN" sz="1150" b="1"/>
            <a:t>129 total members</a:t>
          </a:r>
          <a:r>
            <a:rPr lang="en-IN" sz="1150"/>
            <a:t> and offers </a:t>
          </a:r>
          <a:r>
            <a:rPr lang="en-IN" sz="1150" b="1"/>
            <a:t>20 classes</a:t>
          </a:r>
          <a:r>
            <a:rPr lang="en-IN" sz="1150"/>
            <a:t>.</a:t>
          </a:r>
        </a:p>
        <a:p>
          <a:r>
            <a:rPr lang="en-IN" sz="1150" b="1"/>
            <a:t>. Monthly memberships</a:t>
          </a:r>
          <a:r>
            <a:rPr lang="en-IN" sz="1150"/>
            <a:t> generate higher revenue than yearly</a:t>
          </a:r>
        </a:p>
        <a:p>
          <a:r>
            <a:rPr lang="en-IN" sz="1150" baseline="0"/>
            <a:t>  </a:t>
          </a:r>
          <a:r>
            <a:rPr lang="en-IN" sz="1150"/>
            <a:t>memberships.</a:t>
          </a:r>
        </a:p>
        <a:p>
          <a:r>
            <a:rPr lang="en-IN" sz="1150" b="1"/>
            <a:t>. December 2024</a:t>
          </a:r>
          <a:r>
            <a:rPr lang="en-IN" sz="1150"/>
            <a:t> recorded the highest monthly revenue.</a:t>
          </a:r>
        </a:p>
        <a:p>
          <a:r>
            <a:rPr lang="en-IN" sz="1150" b="1"/>
            <a:t>. Ghaziabad</a:t>
          </a:r>
          <a:r>
            <a:rPr lang="en-IN" sz="1150" b="1" baseline="0"/>
            <a:t> and </a:t>
          </a:r>
          <a:r>
            <a:rPr lang="en-IN" sz="1150" b="1"/>
            <a:t>Noida</a:t>
          </a:r>
          <a:r>
            <a:rPr lang="en-IN" sz="1150"/>
            <a:t> is the top revenue-generating city.</a:t>
          </a:r>
        </a:p>
        <a:p>
          <a:r>
            <a:rPr lang="en-IN" sz="1150" b="1"/>
            <a:t>. Functional Training</a:t>
          </a:r>
          <a:r>
            <a:rPr lang="en-IN" sz="1150"/>
            <a:t> is the most popular class based on attendance.</a:t>
          </a:r>
        </a:p>
        <a:p>
          <a:r>
            <a:rPr lang="en-IN" sz="1150" b="1" baseline="0"/>
            <a:t>. </a:t>
          </a:r>
          <a:r>
            <a:rPr lang="en-IN" sz="1150"/>
            <a:t>Average attendance per class is </a:t>
          </a:r>
          <a:r>
            <a:rPr lang="en-IN" sz="1150" b="1"/>
            <a:t>26.1</a:t>
          </a:r>
          <a:r>
            <a:rPr lang="en-IN" sz="1150"/>
            <a:t>, showing healthy member engagement.</a:t>
          </a:r>
        </a:p>
        <a:p>
          <a:pPr algn="l"/>
          <a:endParaRPr lang="en-IN" sz="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3773151" backgroundQuery="1" createdVersion="8" refreshedVersion="8" minRefreshableVersion="3" recordCount="0" supportSubquery="1" supportAdvancedDrill="1" xr:uid="{23F61831-FBDE-4DE2-8C9F-3B8ACD9AE1CF}">
  <cacheSource type="external" connectionId="6"/>
  <cacheFields count="3">
    <cacheField name="[classes].[class_name].[class_name]" caption="class_name" numFmtId="0" hierarchy="5" level="1">
      <sharedItems count="4">
        <s v="Functional Training"/>
        <s v="Mobility"/>
        <s v="Pilates"/>
        <s v="Strength Training"/>
      </sharedItems>
    </cacheField>
    <cacheField name="[Measures].[Count of attendance_id]" caption="Count of attendance_id" numFmtId="0" hierarchy="38" level="32767"/>
    <cacheField name="[members].[membership_type].[membership_type]" caption="membership_type" numFmtId="0" hierarchy="15" level="1">
      <sharedItems containsSemiMixedTypes="0" containsNonDate="0" containsString="0"/>
    </cacheField>
  </cacheFields>
  <cacheHierarchies count="46">
    <cacheHierarchy uniqueName="[attendance].[attendance_id]" caption="attendance_id" attribute="1" defaultMemberUniqueName="[attendance].[attendance_id].[All]" allUniqueName="[attendance].[attendance_id].[All]" dimensionUniqueName="[attendance]" displayFolder="" count="2" memberValueDatatype="20" unbalanced="0"/>
    <cacheHierarchy uniqueName="[attendance].[member_id]" caption="member_id" attribute="1" defaultMemberUniqueName="[attendance].[member_id].[All]" allUniqueName="[attendance].[member_id].[All]" dimensionUniqueName="[attendance]" displayFolder="" count="2" memberValueDatatype="20" unbalanced="0"/>
    <cacheHierarchy uniqueName="[attendance].[class_id]" caption="class_id" attribute="1" defaultMemberUniqueName="[attendance].[class_id].[All]" allUniqueName="[attendance].[class_id].[All]" dimensionUniqueName="[attendance]" displayFolder="" count="2" memberValueDatatype="20" unbalanced="0"/>
    <cacheHierarchy uniqueName="[attendance].[attendance_date]" caption="attendance_date" attribute="1" time="1" defaultMemberUniqueName="[attendance].[attendance_date].[All]" allUniqueName="[attendance].[attendance_date].[All]" dimensionUniqueName="[attendance]" displayFolder="" count="2" memberValueDatatype="7" unbalanced="0"/>
    <cacheHierarchy uniqueName="[classes].[class_id]" caption="class_id" attribute="1" defaultMemberUniqueName="[classes].[class_id].[All]" allUniqueName="[classes].[class_id].[All]" dimensionUniqueName="[classes]" displayFolder="" count="2" memberValueDatatype="20" unbalanced="0"/>
    <cacheHierarchy uniqueName="[classes].[class_name]" caption="class_name" attribute="1" defaultMemberUniqueName="[classes].[class_name].[All]" allUniqueName="[classes].[class_name].[All]" dimensionUniqueName="[classes]" displayFolder="" count="2" memberValueDatatype="130" unbalanced="0">
      <fieldsUsage count="2">
        <fieldUsage x="-1"/>
        <fieldUsage x="0"/>
      </fieldsUsage>
    </cacheHierarchy>
    <cacheHierarchy uniqueName="[classes].[trainer_id]" caption="trainer_id" attribute="1" defaultMemberUniqueName="[classes].[trainer_id].[All]" allUniqueName="[classes].[trainer_id].[All]" dimensionUniqueName="[classes]" displayFolder="" count="2" memberValueDatatype="20" unbalanced="0"/>
    <cacheHierarchy uniqueName="[classes].[duration_minutes]" caption="duration_minutes" attribute="1" defaultMemberUniqueName="[classes].[duration_minutes].[All]" allUniqueName="[classes].[duration_minutes].[All]" dimensionUniqueName="[classes]" displayFolder="" count="2" memberValueDatatype="20" unbalanced="0"/>
    <cacheHierarchy uniqueName="[classes].[difficulty]" caption="difficulty" attribute="1" defaultMemberUniqueName="[classes].[difficulty].[All]" allUniqueName="[classes].[difficulty].[All]" dimensionUniqueName="[classes]" displayFolder="" count="2" memberValueDatatype="130" unbalanced="0"/>
    <cacheHierarchy uniqueName="[members].[member_id]" caption="member_id" attribute="1" defaultMemberUniqueName="[members].[member_id].[All]" allUniqueName="[members].[member_id].[All]" dimensionUniqueName="[members]" displayFolder="" count="2" memberValueDatatype="20" unbalanced="0"/>
    <cacheHierarchy uniqueName="[members].[name]" caption="name" attribute="1" defaultMemberUniqueName="[members].[name].[All]" allUniqueName="[members].[name].[All]" dimensionUniqueName="[members]" displayFolder="" count="2" memberValueDatatype="130" unbalanced="0"/>
    <cacheHierarchy uniqueName="[members].[gender]" caption="gender" attribute="1" defaultMemberUniqueName="[members].[gender].[All]" allUniqueName="[members].[gender].[All]" dimensionUniqueName="[members]" displayFolder="" count="2" memberValueDatatype="130" unbalanced="0"/>
    <cacheHierarchy uniqueName="[members].[age]" caption="age" attribute="1" defaultMemberUniqueName="[members].[age].[All]" allUniqueName="[members].[age].[All]" dimensionUniqueName="[members]" displayFolder="" count="2"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2"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2"/>
      </fieldsUsage>
    </cacheHierarchy>
    <cacheHierarchy uniqueName="[members].[membership_status]" caption="membership_status" attribute="1" defaultMemberUniqueName="[members].[membership_status].[All]" allUniqueName="[members].[membership_status].[All]" dimensionUniqueName="[members]" displayFolder="" count="2" memberValueDatatype="130" unbalanced="0"/>
    <cacheHierarchy uniqueName="[payments].[payment_id]" caption="payment_id" attribute="1" defaultMemberUniqueName="[payments].[payment_id].[All]" allUniqueName="[payments].[payment_id].[All]" dimensionUniqueName="[payments]" displayFolder="" count="2" memberValueDatatype="20" unbalanced="0"/>
    <cacheHierarchy uniqueName="[payments].[member_id]" caption="member_id" attribute="1" defaultMemberUniqueName="[payments].[member_id].[All]" allUniqueName="[payments].[member_id].[All]" dimensionUniqueName="[payments]" displayFolder="" count="2" memberValueDatatype="20" unbalanced="0"/>
    <cacheHierarchy uniqueName="[payments].[amount]" caption="amount" attribute="1" defaultMemberUniqueName="[payments].[amount].[All]" allUniqueName="[payments].[amount].[All]" dimensionUniqueName="[payments]" displayFolder="" count="2" memberValueDatatype="2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2"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trainer].[trainer_id]" caption="trainer_id" attribute="1" defaultMemberUniqueName="[trainer].[trainer_id].[All]" allUniqueName="[trainer].[trainer_id].[All]" dimensionUniqueName="[trainer]" displayFolder="" count="2" memberValueDatatype="20" unbalanced="0"/>
    <cacheHierarchy uniqueName="[trainer].[trainer_name]" caption="trainer_name" attribute="1" defaultMemberUniqueName="[trainer].[trainer_name].[All]" allUniqueName="[trainer].[trainer_name].[All]" dimensionUniqueName="[trainer]" displayFolder="" count="2" memberValueDatatype="130" unbalanced="0"/>
    <cacheHierarchy uniqueName="[trainer].[specialization]" caption="specialization" attribute="1" defaultMemberUniqueName="[trainer].[specialization].[All]" allUniqueName="[trainer].[specialization].[All]" dimensionUniqueName="[trainer]" displayFolder="" count="2" memberValueDatatype="130" unbalanced="0"/>
    <cacheHierarchy uniqueName="[trainer].[experience_years]" caption="experience_years" attribute="1" defaultMemberUniqueName="[trainer].[experience_years].[All]" allUniqueName="[trainer].[experience_years].[All]" dimensionUniqueName="[trainer]" displayFolder="" count="2"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2"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4467591" backgroundQuery="1" createdVersion="8" refreshedVersion="8" minRefreshableVersion="3" recordCount="0" supportSubquery="1" supportAdvancedDrill="1" xr:uid="{2CF1142E-940B-400F-A53B-F287DFBC9359}">
  <cacheSource type="external" connectionId="6"/>
  <cacheFields count="3">
    <cacheField name="[Measures].[Sum of amount]" caption="Sum of amount" numFmtId="0" hierarchy="36" level="32767"/>
    <cacheField name="[payments].[payment_date (Month)].[payment_date (Month)]" caption="payment_date (Month)" numFmtId="0" hierarchy="24" level="1">
      <sharedItems count="12">
        <s v="Jan"/>
        <s v="Feb"/>
        <s v="Mar"/>
        <s v="Apr"/>
        <s v="May"/>
        <s v="Jun"/>
        <s v="Jul"/>
        <s v="Aug"/>
        <s v="Sep"/>
        <s v="Oct"/>
        <s v="Nov"/>
        <s v="Dec"/>
      </sharedItems>
    </cacheField>
    <cacheField name="[members].[membership_type].[membership_type]" caption="membership_type" numFmtId="0" hierarchy="15" level="1">
      <sharedItems containsSemiMixedTypes="0" containsNonDate="0" containsString="0"/>
    </cacheField>
  </cacheFields>
  <cacheHierarchies count="46">
    <cacheHierarchy uniqueName="[attendance].[attendance_id]" caption="attendance_id" attribute="1" defaultMemberUniqueName="[attendance].[attendance_id].[All]" allUniqueName="[attendance].[attendance_id].[All]" dimensionUniqueName="[attendance]" displayFolder="" count="0" memberValueDatatype="20" unbalanced="0"/>
    <cacheHierarchy uniqueName="[attendance].[member_id]" caption="member_id" attribute="1" defaultMemberUniqueName="[attendance].[member_id].[All]" allUniqueName="[attendance].[member_id].[All]" dimensionUniqueName="[attendance]" displayFolder="" count="0" memberValueDatatype="20" unbalanced="0"/>
    <cacheHierarchy uniqueName="[attendance].[class_id]" caption="class_id" attribute="1" defaultMemberUniqueName="[attendance].[class_id].[All]" allUniqueName="[attendance].[class_id].[All]" dimensionUniqueName="[attendance]" displayFolder="" count="0" memberValueDatatype="20" unbalanced="0"/>
    <cacheHierarchy uniqueName="[attendance].[attendance_date]" caption="attendance_date" attribute="1" time="1" defaultMemberUniqueName="[attendance].[attendance_date].[All]" allUniqueName="[attendance].[attendance_date].[All]" dimensionUniqueName="[attendance]" displayFolder="" count="0" memberValueDatatype="7" unbalanced="0"/>
    <cacheHierarchy uniqueName="[classes].[class_id]" caption="class_id" attribute="1" defaultMemberUniqueName="[classes].[class_id].[All]" allUniqueName="[classes].[class_id].[All]" dimensionUniqueName="[classes]" displayFolder="" count="0" memberValueDatatype="20" unbalanced="0"/>
    <cacheHierarchy uniqueName="[classes].[class_name]" caption="class_name" attribute="1" defaultMemberUniqueName="[classes].[class_name].[All]" allUniqueName="[classes].[class_name].[All]" dimensionUniqueName="[classes]" displayFolder="" count="0" memberValueDatatype="130" unbalanced="0"/>
    <cacheHierarchy uniqueName="[classes].[trainer_id]" caption="trainer_id" attribute="1" defaultMemberUniqueName="[classes].[trainer_id].[All]" allUniqueName="[classes].[trainer_id].[All]" dimensionUniqueName="[classes]" displayFolder="" count="0" memberValueDatatype="20" unbalanced="0"/>
    <cacheHierarchy uniqueName="[classes].[duration_minutes]" caption="duration_minutes" attribute="1" defaultMemberUniqueName="[classes].[duration_minutes].[All]" allUniqueName="[classes].[duration_minutes].[All]" dimensionUniqueName="[classes]" displayFolder="" count="0" memberValueDatatype="20" unbalanced="0"/>
    <cacheHierarchy uniqueName="[classes].[difficulty]" caption="difficulty" attribute="1" defaultMemberUniqueName="[classes].[difficulty].[All]" allUniqueName="[classes].[difficulty].[All]" dimensionUniqueName="[clas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me]" caption="name" attribute="1" defaultMemberUniqueName="[members].[name].[All]" allUniqueName="[members].[name].[All]" dimensionUniqueName="[members]" displayFolder="" count="0" memberValueDatatype="130" unbalanced="0"/>
    <cacheHierarchy uniqueName="[members].[gender]" caption="gender" attribute="1" defaultMemberUniqueName="[members].[gender].[All]" allUniqueName="[members].[gender].[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0"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2"/>
      </fieldsUsage>
    </cacheHierarchy>
    <cacheHierarchy uniqueName="[members].[membership_status]" caption="membership_status" attribute="1" defaultMemberUniqueName="[members].[membership_status].[All]" allUniqueName="[members].[membership_status].[All]" dimensionUniqueName="[memb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member_id]" caption="member_id" attribute="1" defaultMemberUniqueName="[payments].[member_id].[All]" allUniqueName="[payments].[member_id].[All]" dimensionUniqueName="[payments]" displayFolder="" count="0" memberValueDatatype="20" unbalanced="0"/>
    <cacheHierarchy uniqueName="[payments].[amount]" caption="amount" attribute="1" defaultMemberUniqueName="[payments].[amount].[All]" allUniqueName="[payments].[amount].[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fieldsUsage count="2">
        <fieldUsage x="-1"/>
        <fieldUsage x="1"/>
      </fieldsUsage>
    </cacheHierarchy>
    <cacheHierarchy uniqueName="[trainer].[trainer_id]" caption="trainer_id" attribute="1" defaultMemberUniqueName="[trainer].[trainer_id].[All]" allUniqueName="[trainer].[trainer_id].[All]" dimensionUniqueName="[trainer]" displayFolder="" count="0" memberValueDatatype="20" unbalanced="0"/>
    <cacheHierarchy uniqueName="[trainer].[trainer_name]" caption="trainer_name" attribute="1" defaultMemberUniqueName="[trainer].[trainer_name].[All]" allUniqueName="[trainer].[trainer_name].[All]" dimensionUniqueName="[trainer]" displayFolder="" count="0" memberValueDatatype="130" unbalanced="0"/>
    <cacheHierarchy uniqueName="[trainer].[specialization]" caption="specialization" attribute="1" defaultMemberUniqueName="[trainer].[specialization].[All]" allUniqueName="[trainer].[specialization].[All]" dimensionUniqueName="[trainer]" displayFolder="" count="0" memberValueDatatype="130" unbalanced="0"/>
    <cacheHierarchy uniqueName="[trainer].[experience_years]" caption="experience_years" attribute="1" defaultMemberUniqueName="[trainer].[experience_years].[All]" allUniqueName="[trainer].[experience_years].[All]" dimensionUniqueName="[trainer]" displayFolder="" count="0"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4814814" backgroundQuery="1" createdVersion="8" refreshedVersion="8" minRefreshableVersion="3" recordCount="0" supportSubquery="1" supportAdvancedDrill="1" xr:uid="{1D0A31EF-18FC-4751-82E4-2B8A59371B40}">
  <cacheSource type="external" connectionId="6"/>
  <cacheFields count="2">
    <cacheField name="[members].[membership_type].[membership_type]" caption="membership_type" numFmtId="0" hierarchy="15" level="1">
      <sharedItems count="2">
        <s v="Monthly"/>
        <s v="Yearly"/>
      </sharedItems>
    </cacheField>
    <cacheField name="[Measures].[Sum of amount]" caption="Sum of amount" numFmtId="0" hierarchy="36" level="32767"/>
  </cacheFields>
  <cacheHierarchies count="46">
    <cacheHierarchy uniqueName="[attendance].[attendance_id]" caption="attendance_id" attribute="1" defaultMemberUniqueName="[attendance].[attendance_id].[All]" allUniqueName="[attendance].[attendance_id].[All]" dimensionUniqueName="[attendance]" displayFolder="" count="0" memberValueDatatype="20" unbalanced="0"/>
    <cacheHierarchy uniqueName="[attendance].[member_id]" caption="member_id" attribute="1" defaultMemberUniqueName="[attendance].[member_id].[All]" allUniqueName="[attendance].[member_id].[All]" dimensionUniqueName="[attendance]" displayFolder="" count="0" memberValueDatatype="20" unbalanced="0"/>
    <cacheHierarchy uniqueName="[attendance].[class_id]" caption="class_id" attribute="1" defaultMemberUniqueName="[attendance].[class_id].[All]" allUniqueName="[attendance].[class_id].[All]" dimensionUniqueName="[attendance]" displayFolder="" count="0" memberValueDatatype="20" unbalanced="0"/>
    <cacheHierarchy uniqueName="[attendance].[attendance_date]" caption="attendance_date" attribute="1" time="1" defaultMemberUniqueName="[attendance].[attendance_date].[All]" allUniqueName="[attendance].[attendance_date].[All]" dimensionUniqueName="[attendance]" displayFolder="" count="0" memberValueDatatype="7" unbalanced="0"/>
    <cacheHierarchy uniqueName="[classes].[class_id]" caption="class_id" attribute="1" defaultMemberUniqueName="[classes].[class_id].[All]" allUniqueName="[classes].[class_id].[All]" dimensionUniqueName="[classes]" displayFolder="" count="0" memberValueDatatype="20" unbalanced="0"/>
    <cacheHierarchy uniqueName="[classes].[class_name]" caption="class_name" attribute="1" defaultMemberUniqueName="[classes].[class_name].[All]" allUniqueName="[classes].[class_name].[All]" dimensionUniqueName="[classes]" displayFolder="" count="0" memberValueDatatype="130" unbalanced="0"/>
    <cacheHierarchy uniqueName="[classes].[trainer_id]" caption="trainer_id" attribute="1" defaultMemberUniqueName="[classes].[trainer_id].[All]" allUniqueName="[classes].[trainer_id].[All]" dimensionUniqueName="[classes]" displayFolder="" count="0" memberValueDatatype="20" unbalanced="0"/>
    <cacheHierarchy uniqueName="[classes].[duration_minutes]" caption="duration_minutes" attribute="1" defaultMemberUniqueName="[classes].[duration_minutes].[All]" allUniqueName="[classes].[duration_minutes].[All]" dimensionUniqueName="[classes]" displayFolder="" count="0" memberValueDatatype="20" unbalanced="0"/>
    <cacheHierarchy uniqueName="[classes].[difficulty]" caption="difficulty" attribute="1" defaultMemberUniqueName="[classes].[difficulty].[All]" allUniqueName="[classes].[difficulty].[All]" dimensionUniqueName="[clas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me]" caption="name" attribute="1" defaultMemberUniqueName="[members].[name].[All]" allUniqueName="[members].[name].[All]" dimensionUniqueName="[members]" displayFolder="" count="0" memberValueDatatype="130" unbalanced="0"/>
    <cacheHierarchy uniqueName="[members].[gender]" caption="gender" attribute="1" defaultMemberUniqueName="[members].[gender].[All]" allUniqueName="[members].[gender].[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0"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0"/>
      </fieldsUsage>
    </cacheHierarchy>
    <cacheHierarchy uniqueName="[members].[membership_status]" caption="membership_status" attribute="1" defaultMemberUniqueName="[members].[membership_status].[All]" allUniqueName="[members].[membership_status].[All]" dimensionUniqueName="[memb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member_id]" caption="member_id" attribute="1" defaultMemberUniqueName="[payments].[member_id].[All]" allUniqueName="[payments].[member_id].[All]" dimensionUniqueName="[payments]" displayFolder="" count="0" memberValueDatatype="20" unbalanced="0"/>
    <cacheHierarchy uniqueName="[payments].[amount]" caption="amount" attribute="1" defaultMemberUniqueName="[payments].[amount].[All]" allUniqueName="[payments].[amount].[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0" memberValueDatatype="130" unbalanced="0"/>
    <cacheHierarchy uniqueName="[trainer].[trainer_id]" caption="trainer_id" attribute="1" defaultMemberUniqueName="[trainer].[trainer_id].[All]" allUniqueName="[trainer].[trainer_id].[All]" dimensionUniqueName="[trainer]" displayFolder="" count="0" memberValueDatatype="20" unbalanced="0"/>
    <cacheHierarchy uniqueName="[trainer].[trainer_name]" caption="trainer_name" attribute="1" defaultMemberUniqueName="[trainer].[trainer_name].[All]" allUniqueName="[trainer].[trainer_name].[All]" dimensionUniqueName="[trainer]" displayFolder="" count="0" memberValueDatatype="130" unbalanced="0"/>
    <cacheHierarchy uniqueName="[trainer].[specialization]" caption="specialization" attribute="1" defaultMemberUniqueName="[trainer].[specialization].[All]" allUniqueName="[trainer].[specialization].[All]" dimensionUniqueName="[trainer]" displayFolder="" count="0" memberValueDatatype="130" unbalanced="0"/>
    <cacheHierarchy uniqueName="[trainer].[experience_years]" caption="experience_years" attribute="1" defaultMemberUniqueName="[trainer].[experience_years].[All]" allUniqueName="[trainer].[experience_years].[All]" dimensionUniqueName="[trainer]" displayFolder="" count="0"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5393522" backgroundQuery="1" createdVersion="8" refreshedVersion="8" minRefreshableVersion="3" recordCount="0" supportSubquery="1" supportAdvancedDrill="1" xr:uid="{0C298BFB-EC08-4D82-8486-7732A82FD2A2}">
  <cacheSource type="external" connectionId="6"/>
  <cacheFields count="3">
    <cacheField name="[Measures].[Sum of amount]" caption="Sum of amount" numFmtId="0" hierarchy="36" level="32767"/>
    <cacheField name="[members].[city].[city]" caption="city" numFmtId="0" hierarchy="13" level="1">
      <sharedItems count="5">
        <s v="Delhi"/>
        <s v="Faridabad"/>
        <s v="Ghaziabad"/>
        <s v="Gurgaon"/>
        <s v="Noida"/>
      </sharedItems>
    </cacheField>
    <cacheField name="[members].[membership_type].[membership_type]" caption="membership_type" numFmtId="0" hierarchy="15" level="1">
      <sharedItems containsSemiMixedTypes="0" containsNonDate="0" containsString="0"/>
    </cacheField>
  </cacheFields>
  <cacheHierarchies count="46">
    <cacheHierarchy uniqueName="[attendance].[attendance_id]" caption="attendance_id" attribute="1" defaultMemberUniqueName="[attendance].[attendance_id].[All]" allUniqueName="[attendance].[attendance_id].[All]" dimensionUniqueName="[attendance]" displayFolder="" count="2" memberValueDatatype="20" unbalanced="0"/>
    <cacheHierarchy uniqueName="[attendance].[member_id]" caption="member_id" attribute="1" defaultMemberUniqueName="[attendance].[member_id].[All]" allUniqueName="[attendance].[member_id].[All]" dimensionUniqueName="[attendance]" displayFolder="" count="2" memberValueDatatype="20" unbalanced="0"/>
    <cacheHierarchy uniqueName="[attendance].[class_id]" caption="class_id" attribute="1" defaultMemberUniqueName="[attendance].[class_id].[All]" allUniqueName="[attendance].[class_id].[All]" dimensionUniqueName="[attendance]" displayFolder="" count="2" memberValueDatatype="20" unbalanced="0"/>
    <cacheHierarchy uniqueName="[attendance].[attendance_date]" caption="attendance_date" attribute="1" time="1" defaultMemberUniqueName="[attendance].[attendance_date].[All]" allUniqueName="[attendance].[attendance_date].[All]" dimensionUniqueName="[attendance]" displayFolder="" count="2" memberValueDatatype="7" unbalanced="0"/>
    <cacheHierarchy uniqueName="[classes].[class_id]" caption="class_id" attribute="1" defaultMemberUniqueName="[classes].[class_id].[All]" allUniqueName="[classes].[class_id].[All]" dimensionUniqueName="[classes]" displayFolder="" count="2" memberValueDatatype="20" unbalanced="0"/>
    <cacheHierarchy uniqueName="[classes].[class_name]" caption="class_name" attribute="1" defaultMemberUniqueName="[classes].[class_name].[All]" allUniqueName="[classes].[class_name].[All]" dimensionUniqueName="[classes]" displayFolder="" count="2" memberValueDatatype="130" unbalanced="0"/>
    <cacheHierarchy uniqueName="[classes].[trainer_id]" caption="trainer_id" attribute="1" defaultMemberUniqueName="[classes].[trainer_id].[All]" allUniqueName="[classes].[trainer_id].[All]" dimensionUniqueName="[classes]" displayFolder="" count="2" memberValueDatatype="20" unbalanced="0"/>
    <cacheHierarchy uniqueName="[classes].[duration_minutes]" caption="duration_minutes" attribute="1" defaultMemberUniqueName="[classes].[duration_minutes].[All]" allUniqueName="[classes].[duration_minutes].[All]" dimensionUniqueName="[classes]" displayFolder="" count="2" memberValueDatatype="20" unbalanced="0"/>
    <cacheHierarchy uniqueName="[classes].[difficulty]" caption="difficulty" attribute="1" defaultMemberUniqueName="[classes].[difficulty].[All]" allUniqueName="[classes].[difficulty].[All]" dimensionUniqueName="[classes]" displayFolder="" count="2" memberValueDatatype="130" unbalanced="0"/>
    <cacheHierarchy uniqueName="[members].[member_id]" caption="member_id" attribute="1" defaultMemberUniqueName="[members].[member_id].[All]" allUniqueName="[members].[member_id].[All]" dimensionUniqueName="[members]" displayFolder="" count="2" memberValueDatatype="20" unbalanced="0"/>
    <cacheHierarchy uniqueName="[members].[name]" caption="name" attribute="1" defaultMemberUniqueName="[members].[name].[All]" allUniqueName="[members].[name].[All]" dimensionUniqueName="[members]" displayFolder="" count="2" memberValueDatatype="130" unbalanced="0"/>
    <cacheHierarchy uniqueName="[members].[gender]" caption="gender" attribute="1" defaultMemberUniqueName="[members].[gender].[All]" allUniqueName="[members].[gender].[All]" dimensionUniqueName="[members]" displayFolder="" count="2" memberValueDatatype="130" unbalanced="0"/>
    <cacheHierarchy uniqueName="[members].[age]" caption="age" attribute="1" defaultMemberUniqueName="[members].[age].[All]" allUniqueName="[members].[age].[All]" dimensionUniqueName="[members]" displayFolder="" count="2" memberValueDatatype="20" unbalanced="0"/>
    <cacheHierarchy uniqueName="[members].[city]" caption="city" attribute="1" defaultMemberUniqueName="[members].[city].[All]" allUniqueName="[members].[city].[All]" dimensionUniqueName="[members]" displayFolder="" count="2" memberValueDatatype="130" unbalanced="0">
      <fieldsUsage count="2">
        <fieldUsage x="-1"/>
        <fieldUsage x="1"/>
      </fieldsUsage>
    </cacheHierarchy>
    <cacheHierarchy uniqueName="[members].[join_date]" caption="join_date" attribute="1" time="1" defaultMemberUniqueName="[members].[join_date].[All]" allUniqueName="[members].[join_date].[All]" dimensionUniqueName="[members]" displayFolder="" count="2"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2"/>
      </fieldsUsage>
    </cacheHierarchy>
    <cacheHierarchy uniqueName="[members].[membership_status]" caption="membership_status" attribute="1" defaultMemberUniqueName="[members].[membership_status].[All]" allUniqueName="[members].[membership_status].[All]" dimensionUniqueName="[members]" displayFolder="" count="2" memberValueDatatype="130" unbalanced="0"/>
    <cacheHierarchy uniqueName="[payments].[payment_id]" caption="payment_id" attribute="1" defaultMemberUniqueName="[payments].[payment_id].[All]" allUniqueName="[payments].[payment_id].[All]" dimensionUniqueName="[payments]" displayFolder="" count="2" memberValueDatatype="20" unbalanced="0"/>
    <cacheHierarchy uniqueName="[payments].[member_id]" caption="member_id" attribute="1" defaultMemberUniqueName="[payments].[member_id].[All]" allUniqueName="[payments].[member_id].[All]" dimensionUniqueName="[payments]" displayFolder="" count="2" memberValueDatatype="20" unbalanced="0"/>
    <cacheHierarchy uniqueName="[payments].[amount]" caption="amount" attribute="1" defaultMemberUniqueName="[payments].[amount].[All]" allUniqueName="[payments].[amount].[All]" dimensionUniqueName="[payments]" displayFolder="" count="2" memberValueDatatype="2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2" memberValueDatatype="130" unbalanced="0"/>
    <cacheHierarchy uniqueName="[payments].[payment_date (Month)]" caption="payment_date (Month)" attribute="1" defaultMemberUniqueName="[payments].[payment_date (Month)].[All]" allUniqueName="[payments].[payment_date (Month)].[All]" dimensionUniqueName="[payments]" displayFolder="" count="2" memberValueDatatype="130" unbalanced="0"/>
    <cacheHierarchy uniqueName="[trainer].[trainer_id]" caption="trainer_id" attribute="1" defaultMemberUniqueName="[trainer].[trainer_id].[All]" allUniqueName="[trainer].[trainer_id].[All]" dimensionUniqueName="[trainer]" displayFolder="" count="2" memberValueDatatype="20" unbalanced="0"/>
    <cacheHierarchy uniqueName="[trainer].[trainer_name]" caption="trainer_name" attribute="1" defaultMemberUniqueName="[trainer].[trainer_name].[All]" allUniqueName="[trainer].[trainer_name].[All]" dimensionUniqueName="[trainer]" displayFolder="" count="2" memberValueDatatype="130" unbalanced="0"/>
    <cacheHierarchy uniqueName="[trainer].[specialization]" caption="specialization" attribute="1" defaultMemberUniqueName="[trainer].[specialization].[All]" allUniqueName="[trainer].[specialization].[All]" dimensionUniqueName="[trainer]" displayFolder="" count="2" memberValueDatatype="130" unbalanced="0"/>
    <cacheHierarchy uniqueName="[trainer].[experience_years]" caption="experience_years" attribute="1" defaultMemberUniqueName="[trainer].[experience_years].[All]" allUniqueName="[trainer].[experience_years].[All]" dimensionUniqueName="[trainer]" displayFolder="" count="2"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2"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5856484" backgroundQuery="1" createdVersion="8" refreshedVersion="8" minRefreshableVersion="3" recordCount="0" supportSubquery="1" supportAdvancedDrill="1" xr:uid="{956DD034-A7AE-4CD8-83D5-07E05A96CD13}">
  <cacheSource type="external" connectionId="6"/>
  <cacheFields count="2">
    <cacheField name="[Measures].[Sum of amount]" caption="Sum of amount" numFmtId="0" hierarchy="36" level="32767"/>
    <cacheField name="[members].[membership_type].[membership_type]" caption="membership_type" numFmtId="0" hierarchy="15" level="1">
      <sharedItems containsSemiMixedTypes="0" containsNonDate="0" containsString="0"/>
    </cacheField>
  </cacheFields>
  <cacheHierarchies count="46">
    <cacheHierarchy uniqueName="[attendance].[attendance_id]" caption="attendance_id" attribute="1" defaultMemberUniqueName="[attendance].[attendance_id].[All]" allUniqueName="[attendance].[attendance_id].[All]" dimensionUniqueName="[attendance]" displayFolder="" count="0" memberValueDatatype="20" unbalanced="0"/>
    <cacheHierarchy uniqueName="[attendance].[member_id]" caption="member_id" attribute="1" defaultMemberUniqueName="[attendance].[member_id].[All]" allUniqueName="[attendance].[member_id].[All]" dimensionUniqueName="[attendance]" displayFolder="" count="0" memberValueDatatype="20" unbalanced="0"/>
    <cacheHierarchy uniqueName="[attendance].[class_id]" caption="class_id" attribute="1" defaultMemberUniqueName="[attendance].[class_id].[All]" allUniqueName="[attendance].[class_id].[All]" dimensionUniqueName="[attendance]" displayFolder="" count="0" memberValueDatatype="20" unbalanced="0"/>
    <cacheHierarchy uniqueName="[attendance].[attendance_date]" caption="attendance_date" attribute="1" time="1" defaultMemberUniqueName="[attendance].[attendance_date].[All]" allUniqueName="[attendance].[attendance_date].[All]" dimensionUniqueName="[attendance]" displayFolder="" count="0" memberValueDatatype="7" unbalanced="0"/>
    <cacheHierarchy uniqueName="[classes].[class_id]" caption="class_id" attribute="1" defaultMemberUniqueName="[classes].[class_id].[All]" allUniqueName="[classes].[class_id].[All]" dimensionUniqueName="[classes]" displayFolder="" count="0" memberValueDatatype="20" unbalanced="0"/>
    <cacheHierarchy uniqueName="[classes].[class_name]" caption="class_name" attribute="1" defaultMemberUniqueName="[classes].[class_name].[All]" allUniqueName="[classes].[class_name].[All]" dimensionUniqueName="[classes]" displayFolder="" count="0" memberValueDatatype="130" unbalanced="0"/>
    <cacheHierarchy uniqueName="[classes].[trainer_id]" caption="trainer_id" attribute="1" defaultMemberUniqueName="[classes].[trainer_id].[All]" allUniqueName="[classes].[trainer_id].[All]" dimensionUniqueName="[classes]" displayFolder="" count="0" memberValueDatatype="20" unbalanced="0"/>
    <cacheHierarchy uniqueName="[classes].[duration_minutes]" caption="duration_minutes" attribute="1" defaultMemberUniqueName="[classes].[duration_minutes].[All]" allUniqueName="[classes].[duration_minutes].[All]" dimensionUniqueName="[classes]" displayFolder="" count="0" memberValueDatatype="20" unbalanced="0"/>
    <cacheHierarchy uniqueName="[classes].[difficulty]" caption="difficulty" attribute="1" defaultMemberUniqueName="[classes].[difficulty].[All]" allUniqueName="[classes].[difficulty].[All]" dimensionUniqueName="[clas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me]" caption="name" attribute="1" defaultMemberUniqueName="[members].[name].[All]" allUniqueName="[members].[name].[All]" dimensionUniqueName="[members]" displayFolder="" count="0" memberValueDatatype="130" unbalanced="0"/>
    <cacheHierarchy uniqueName="[members].[gender]" caption="gender" attribute="1" defaultMemberUniqueName="[members].[gender].[All]" allUniqueName="[members].[gender].[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0"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1"/>
      </fieldsUsage>
    </cacheHierarchy>
    <cacheHierarchy uniqueName="[members].[membership_status]" caption="membership_status" attribute="1" defaultMemberUniqueName="[members].[membership_status].[All]" allUniqueName="[members].[membership_status].[All]" dimensionUniqueName="[memb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member_id]" caption="member_id" attribute="1" defaultMemberUniqueName="[payments].[member_id].[All]" allUniqueName="[payments].[member_id].[All]" dimensionUniqueName="[payments]" displayFolder="" count="0" memberValueDatatype="20" unbalanced="0"/>
    <cacheHierarchy uniqueName="[payments].[amount]" caption="amount" attribute="1" defaultMemberUniqueName="[payments].[amount].[All]" allUniqueName="[payments].[amount].[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0" memberValueDatatype="130" unbalanced="0"/>
    <cacheHierarchy uniqueName="[trainer].[trainer_id]" caption="trainer_id" attribute="1" defaultMemberUniqueName="[trainer].[trainer_id].[All]" allUniqueName="[trainer].[trainer_id].[All]" dimensionUniqueName="[trainer]" displayFolder="" count="0" memberValueDatatype="20" unbalanced="0"/>
    <cacheHierarchy uniqueName="[trainer].[trainer_name]" caption="trainer_name" attribute="1" defaultMemberUniqueName="[trainer].[trainer_name].[All]" allUniqueName="[trainer].[trainer_name].[All]" dimensionUniqueName="[trainer]" displayFolder="" count="0" memberValueDatatype="130" unbalanced="0"/>
    <cacheHierarchy uniqueName="[trainer].[specialization]" caption="specialization" attribute="1" defaultMemberUniqueName="[trainer].[specialization].[All]" allUniqueName="[trainer].[specialization].[All]" dimensionUniqueName="[trainer]" displayFolder="" count="0" memberValueDatatype="130" unbalanced="0"/>
    <cacheHierarchy uniqueName="[trainer].[experience_years]" caption="experience_years" attribute="1" defaultMemberUniqueName="[trainer].[experience_years].[All]" allUniqueName="[trainer].[experience_years].[All]" dimensionUniqueName="[trainer]" displayFolder="" count="0"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5972222" backgroundQuery="1" createdVersion="8" refreshedVersion="8" minRefreshableVersion="3" recordCount="0" supportSubquery="1" supportAdvancedDrill="1" xr:uid="{1408A04B-04BA-4812-8864-7AA295420940}">
  <cacheSource type="external" connectionId="6"/>
  <cacheFields count="2">
    <cacheField name="[Measures].[Count of member_id]" caption="Count of member_id" numFmtId="0" hierarchy="41" level="32767"/>
    <cacheField name="[members].[membership_type].[membership_type]" caption="membership_type" numFmtId="0" hierarchy="15" level="1">
      <sharedItems containsSemiMixedTypes="0" containsNonDate="0" containsString="0"/>
    </cacheField>
  </cacheFields>
  <cacheHierarchies count="46">
    <cacheHierarchy uniqueName="[attendance].[attendance_id]" caption="attendance_id" attribute="1" defaultMemberUniqueName="[attendance].[attendance_id].[All]" allUniqueName="[attendance].[attendance_id].[All]" dimensionUniqueName="[attendance]" displayFolder="" count="0" memberValueDatatype="20" unbalanced="0"/>
    <cacheHierarchy uniqueName="[attendance].[member_id]" caption="member_id" attribute="1" defaultMemberUniqueName="[attendance].[member_id].[All]" allUniqueName="[attendance].[member_id].[All]" dimensionUniqueName="[attendance]" displayFolder="" count="0" memberValueDatatype="20" unbalanced="0"/>
    <cacheHierarchy uniqueName="[attendance].[class_id]" caption="class_id" attribute="1" defaultMemberUniqueName="[attendance].[class_id].[All]" allUniqueName="[attendance].[class_id].[All]" dimensionUniqueName="[attendance]" displayFolder="" count="0" memberValueDatatype="20" unbalanced="0"/>
    <cacheHierarchy uniqueName="[attendance].[attendance_date]" caption="attendance_date" attribute="1" time="1" defaultMemberUniqueName="[attendance].[attendance_date].[All]" allUniqueName="[attendance].[attendance_date].[All]" dimensionUniqueName="[attendance]" displayFolder="" count="0" memberValueDatatype="7" unbalanced="0"/>
    <cacheHierarchy uniqueName="[classes].[class_id]" caption="class_id" attribute="1" defaultMemberUniqueName="[classes].[class_id].[All]" allUniqueName="[classes].[class_id].[All]" dimensionUniqueName="[classes]" displayFolder="" count="0" memberValueDatatype="20" unbalanced="0"/>
    <cacheHierarchy uniqueName="[classes].[class_name]" caption="class_name" attribute="1" defaultMemberUniqueName="[classes].[class_name].[All]" allUniqueName="[classes].[class_name].[All]" dimensionUniqueName="[classes]" displayFolder="" count="0" memberValueDatatype="130" unbalanced="0"/>
    <cacheHierarchy uniqueName="[classes].[trainer_id]" caption="trainer_id" attribute="1" defaultMemberUniqueName="[classes].[trainer_id].[All]" allUniqueName="[classes].[trainer_id].[All]" dimensionUniqueName="[classes]" displayFolder="" count="0" memberValueDatatype="20" unbalanced="0"/>
    <cacheHierarchy uniqueName="[classes].[duration_minutes]" caption="duration_minutes" attribute="1" defaultMemberUniqueName="[classes].[duration_minutes].[All]" allUniqueName="[classes].[duration_minutes].[All]" dimensionUniqueName="[classes]" displayFolder="" count="0" memberValueDatatype="20" unbalanced="0"/>
    <cacheHierarchy uniqueName="[classes].[difficulty]" caption="difficulty" attribute="1" defaultMemberUniqueName="[classes].[difficulty].[All]" allUniqueName="[classes].[difficulty].[All]" dimensionUniqueName="[clas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me]" caption="name" attribute="1" defaultMemberUniqueName="[members].[name].[All]" allUniqueName="[members].[name].[All]" dimensionUniqueName="[members]" displayFolder="" count="0" memberValueDatatype="130" unbalanced="0"/>
    <cacheHierarchy uniqueName="[members].[gender]" caption="gender" attribute="1" defaultMemberUniqueName="[members].[gender].[All]" allUniqueName="[members].[gender].[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0"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1"/>
      </fieldsUsage>
    </cacheHierarchy>
    <cacheHierarchy uniqueName="[members].[membership_status]" caption="membership_status" attribute="1" defaultMemberUniqueName="[members].[membership_status].[All]" allUniqueName="[members].[membership_status].[All]" dimensionUniqueName="[memb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member_id]" caption="member_id" attribute="1" defaultMemberUniqueName="[payments].[member_id].[All]" allUniqueName="[payments].[member_id].[All]" dimensionUniqueName="[payments]" displayFolder="" count="0" memberValueDatatype="20" unbalanced="0"/>
    <cacheHierarchy uniqueName="[payments].[amount]" caption="amount" attribute="1" defaultMemberUniqueName="[payments].[amount].[All]" allUniqueName="[payments].[amount].[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0" memberValueDatatype="130" unbalanced="0"/>
    <cacheHierarchy uniqueName="[trainer].[trainer_id]" caption="trainer_id" attribute="1" defaultMemberUniqueName="[trainer].[trainer_id].[All]" allUniqueName="[trainer].[trainer_id].[All]" dimensionUniqueName="[trainer]" displayFolder="" count="0" memberValueDatatype="20" unbalanced="0"/>
    <cacheHierarchy uniqueName="[trainer].[trainer_name]" caption="trainer_name" attribute="1" defaultMemberUniqueName="[trainer].[trainer_name].[All]" allUniqueName="[trainer].[trainer_name].[All]" dimensionUniqueName="[trainer]" displayFolder="" count="0" memberValueDatatype="130" unbalanced="0"/>
    <cacheHierarchy uniqueName="[trainer].[specialization]" caption="specialization" attribute="1" defaultMemberUniqueName="[trainer].[specialization].[All]" allUniqueName="[trainer].[specialization].[All]" dimensionUniqueName="[trainer]" displayFolder="" count="0" memberValueDatatype="130" unbalanced="0"/>
    <cacheHierarchy uniqueName="[trainer].[experience_years]" caption="experience_years" attribute="1" defaultMemberUniqueName="[trainer].[experience_years].[All]" allUniqueName="[trainer].[experience_years].[All]" dimensionUniqueName="[trainer]" displayFolder="" count="0"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6319446" backgroundQuery="1" createdVersion="8" refreshedVersion="8" minRefreshableVersion="3" recordCount="0" supportSubquery="1" supportAdvancedDrill="1" xr:uid="{5B755313-E11D-4203-9FDE-2E1AC96D6C95}">
  <cacheSource type="external" connectionId="6"/>
  <cacheFields count="2">
    <cacheField name="[Measures].[Count of class_id]" caption="Count of class_id" numFmtId="0" hierarchy="45" level="32767"/>
    <cacheField name="[members].[membership_type].[membership_type]" caption="membership_type" numFmtId="0" hierarchy="15" level="1">
      <sharedItems containsSemiMixedTypes="0" containsNonDate="0" containsString="0"/>
    </cacheField>
  </cacheFields>
  <cacheHierarchies count="46">
    <cacheHierarchy uniqueName="[attendance].[attendance_id]" caption="attendance_id" attribute="1" defaultMemberUniqueName="[attendance].[attendance_id].[All]" allUniqueName="[attendance].[attendance_id].[All]" dimensionUniqueName="[attendance]" displayFolder="" count="0" memberValueDatatype="20" unbalanced="0"/>
    <cacheHierarchy uniqueName="[attendance].[member_id]" caption="member_id" attribute="1" defaultMemberUniqueName="[attendance].[member_id].[All]" allUniqueName="[attendance].[member_id].[All]" dimensionUniqueName="[attendance]" displayFolder="" count="0" memberValueDatatype="20" unbalanced="0"/>
    <cacheHierarchy uniqueName="[attendance].[class_id]" caption="class_id" attribute="1" defaultMemberUniqueName="[attendance].[class_id].[All]" allUniqueName="[attendance].[class_id].[All]" dimensionUniqueName="[attendance]" displayFolder="" count="0" memberValueDatatype="20" unbalanced="0"/>
    <cacheHierarchy uniqueName="[attendance].[attendance_date]" caption="attendance_date" attribute="1" time="1" defaultMemberUniqueName="[attendance].[attendance_date].[All]" allUniqueName="[attendance].[attendance_date].[All]" dimensionUniqueName="[attendance]" displayFolder="" count="0" memberValueDatatype="7" unbalanced="0"/>
    <cacheHierarchy uniqueName="[classes].[class_id]" caption="class_id" attribute="1" defaultMemberUniqueName="[classes].[class_id].[All]" allUniqueName="[classes].[class_id].[All]" dimensionUniqueName="[classes]" displayFolder="" count="0" memberValueDatatype="20" unbalanced="0"/>
    <cacheHierarchy uniqueName="[classes].[class_name]" caption="class_name" attribute="1" defaultMemberUniqueName="[classes].[class_name].[All]" allUniqueName="[classes].[class_name].[All]" dimensionUniqueName="[classes]" displayFolder="" count="0" memberValueDatatype="130" unbalanced="0"/>
    <cacheHierarchy uniqueName="[classes].[trainer_id]" caption="trainer_id" attribute="1" defaultMemberUniqueName="[classes].[trainer_id].[All]" allUniqueName="[classes].[trainer_id].[All]" dimensionUniqueName="[classes]" displayFolder="" count="0" memberValueDatatype="20" unbalanced="0"/>
    <cacheHierarchy uniqueName="[classes].[duration_minutes]" caption="duration_minutes" attribute="1" defaultMemberUniqueName="[classes].[duration_minutes].[All]" allUniqueName="[classes].[duration_minutes].[All]" dimensionUniqueName="[classes]" displayFolder="" count="0" memberValueDatatype="20" unbalanced="0"/>
    <cacheHierarchy uniqueName="[classes].[difficulty]" caption="difficulty" attribute="1" defaultMemberUniqueName="[classes].[difficulty].[All]" allUniqueName="[classes].[difficulty].[All]" dimensionUniqueName="[clas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me]" caption="name" attribute="1" defaultMemberUniqueName="[members].[name].[All]" allUniqueName="[members].[name].[All]" dimensionUniqueName="[members]" displayFolder="" count="0" memberValueDatatype="130" unbalanced="0"/>
    <cacheHierarchy uniqueName="[members].[gender]" caption="gender" attribute="1" defaultMemberUniqueName="[members].[gender].[All]" allUniqueName="[members].[gender].[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0"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1"/>
      </fieldsUsage>
    </cacheHierarchy>
    <cacheHierarchy uniqueName="[members].[membership_status]" caption="membership_status" attribute="1" defaultMemberUniqueName="[members].[membership_status].[All]" allUniqueName="[members].[membership_status].[All]" dimensionUniqueName="[memb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member_id]" caption="member_id" attribute="1" defaultMemberUniqueName="[payments].[member_id].[All]" allUniqueName="[payments].[member_id].[All]" dimensionUniqueName="[payments]" displayFolder="" count="0" memberValueDatatype="20" unbalanced="0"/>
    <cacheHierarchy uniqueName="[payments].[amount]" caption="amount" attribute="1" defaultMemberUniqueName="[payments].[amount].[All]" allUniqueName="[payments].[amount].[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0" memberValueDatatype="130" unbalanced="0"/>
    <cacheHierarchy uniqueName="[trainer].[trainer_id]" caption="trainer_id" attribute="1" defaultMemberUniqueName="[trainer].[trainer_id].[All]" allUniqueName="[trainer].[trainer_id].[All]" dimensionUniqueName="[trainer]" displayFolder="" count="0" memberValueDatatype="20" unbalanced="0"/>
    <cacheHierarchy uniqueName="[trainer].[trainer_name]" caption="trainer_name" attribute="1" defaultMemberUniqueName="[trainer].[trainer_name].[All]" allUniqueName="[trainer].[trainer_name].[All]" dimensionUniqueName="[trainer]" displayFolder="" count="0" memberValueDatatype="130" unbalanced="0"/>
    <cacheHierarchy uniqueName="[trainer].[specialization]" caption="specialization" attribute="1" defaultMemberUniqueName="[trainer].[specialization].[All]" allUniqueName="[trainer].[specialization].[All]" dimensionUniqueName="[trainer]" displayFolder="" count="0" memberValueDatatype="130" unbalanced="0"/>
    <cacheHierarchy uniqueName="[trainer].[experience_years]" caption="experience_years" attribute="1" defaultMemberUniqueName="[trainer].[experience_years].[All]" allUniqueName="[trainer].[experience_years].[All]" dimensionUniqueName="[trainer]" displayFolder="" count="0"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9.623716782407" backgroundQuery="1" createdVersion="8" refreshedVersion="8" minRefreshableVersion="3" recordCount="0" supportSubquery="1" supportAdvancedDrill="1" xr:uid="{E52F6B1C-43F2-438A-84B4-AC9193BBCC9D}">
  <cacheSource type="external" connectionId="6"/>
  <cacheFields count="3">
    <cacheField name="[classes].[class_id].[class_id]" caption="class_id" numFmtId="0" hierarchy="4" level="1">
      <sharedItems containsSemiMixedTypes="0" containsString="0" containsNumber="1" containsInteger="1" minValue="1" maxValue="20" count="20">
        <n v="1"/>
        <n v="2"/>
        <n v="3"/>
        <n v="4"/>
        <n v="5"/>
        <n v="6"/>
        <n v="7"/>
        <n v="8"/>
        <n v="9"/>
        <n v="10"/>
        <n v="11"/>
        <n v="12"/>
        <n v="13"/>
        <n v="14"/>
        <n v="15"/>
        <n v="16"/>
        <n v="17"/>
        <n v="18"/>
        <n v="19"/>
        <n v="20"/>
      </sharedItems>
      <extLst>
        <ext xmlns:x15="http://schemas.microsoft.com/office/spreadsheetml/2010/11/main" uri="{4F2E5C28-24EA-4eb8-9CBF-B6C8F9C3D259}">
          <x15:cachedUniqueNames>
            <x15:cachedUniqueName index="0" name="[classes].[class_id].&amp;[1]"/>
            <x15:cachedUniqueName index="1" name="[classes].[class_id].&amp;[2]"/>
            <x15:cachedUniqueName index="2" name="[classes].[class_id].&amp;[3]"/>
            <x15:cachedUniqueName index="3" name="[classes].[class_id].&amp;[4]"/>
            <x15:cachedUniqueName index="4" name="[classes].[class_id].&amp;[5]"/>
            <x15:cachedUniqueName index="5" name="[classes].[class_id].&amp;[6]"/>
            <x15:cachedUniqueName index="6" name="[classes].[class_id].&amp;[7]"/>
            <x15:cachedUniqueName index="7" name="[classes].[class_id].&amp;[8]"/>
            <x15:cachedUniqueName index="8" name="[classes].[class_id].&amp;[9]"/>
            <x15:cachedUniqueName index="9" name="[classes].[class_id].&amp;[10]"/>
            <x15:cachedUniqueName index="10" name="[classes].[class_id].&amp;[11]"/>
            <x15:cachedUniqueName index="11" name="[classes].[class_id].&amp;[12]"/>
            <x15:cachedUniqueName index="12" name="[classes].[class_id].&amp;[13]"/>
            <x15:cachedUniqueName index="13" name="[classes].[class_id].&amp;[14]"/>
            <x15:cachedUniqueName index="14" name="[classes].[class_id].&amp;[15]"/>
            <x15:cachedUniqueName index="15" name="[classes].[class_id].&amp;[16]"/>
            <x15:cachedUniqueName index="16" name="[classes].[class_id].&amp;[17]"/>
            <x15:cachedUniqueName index="17" name="[classes].[class_id].&amp;[18]"/>
            <x15:cachedUniqueName index="18" name="[classes].[class_id].&amp;[19]"/>
            <x15:cachedUniqueName index="19" name="[classes].[class_id].&amp;[20]"/>
          </x15:cachedUniqueNames>
        </ext>
      </extLst>
    </cacheField>
    <cacheField name="[Measures].[Count of attendance_id]" caption="Count of attendance_id" numFmtId="0" hierarchy="38" level="32767"/>
    <cacheField name="[members].[membership_type].[membership_type]" caption="membership_type" numFmtId="0" hierarchy="15" level="1">
      <sharedItems containsSemiMixedTypes="0" containsNonDate="0" containsString="0"/>
    </cacheField>
  </cacheFields>
  <cacheHierarchies count="46">
    <cacheHierarchy uniqueName="[attendance].[attendance_id]" caption="attendance_id" attribute="1" defaultMemberUniqueName="[attendance].[attendance_id].[All]" allUniqueName="[attendance].[attendance_id].[All]" dimensionUniqueName="[attendance]" displayFolder="" count="0" memberValueDatatype="20" unbalanced="0"/>
    <cacheHierarchy uniqueName="[attendance].[member_id]" caption="member_id" attribute="1" defaultMemberUniqueName="[attendance].[member_id].[All]" allUniqueName="[attendance].[member_id].[All]" dimensionUniqueName="[attendance]" displayFolder="" count="0" memberValueDatatype="20" unbalanced="0"/>
    <cacheHierarchy uniqueName="[attendance].[class_id]" caption="class_id" attribute="1" defaultMemberUniqueName="[attendance].[class_id].[All]" allUniqueName="[attendance].[class_id].[All]" dimensionUniqueName="[attendance]" displayFolder="" count="0" memberValueDatatype="20" unbalanced="0"/>
    <cacheHierarchy uniqueName="[attendance].[attendance_date]" caption="attendance_date" attribute="1" time="1" defaultMemberUniqueName="[attendance].[attendance_date].[All]" allUniqueName="[attendance].[attendance_date].[All]" dimensionUniqueName="[attendance]" displayFolder="" count="0" memberValueDatatype="7" unbalanced="0"/>
    <cacheHierarchy uniqueName="[classes].[class_id]" caption="class_id" attribute="1" defaultMemberUniqueName="[classes].[class_id].[All]" allUniqueName="[classes].[class_id].[All]" dimensionUniqueName="[classes]" displayFolder="" count="2" memberValueDatatype="20" unbalanced="0">
      <fieldsUsage count="2">
        <fieldUsage x="-1"/>
        <fieldUsage x="0"/>
      </fieldsUsage>
    </cacheHierarchy>
    <cacheHierarchy uniqueName="[classes].[class_name]" caption="class_name" attribute="1" defaultMemberUniqueName="[classes].[class_name].[All]" allUniqueName="[classes].[class_name].[All]" dimensionUniqueName="[classes]" displayFolder="" count="0" memberValueDatatype="130" unbalanced="0"/>
    <cacheHierarchy uniqueName="[classes].[trainer_id]" caption="trainer_id" attribute="1" defaultMemberUniqueName="[classes].[trainer_id].[All]" allUniqueName="[classes].[trainer_id].[All]" dimensionUniqueName="[classes]" displayFolder="" count="0" memberValueDatatype="20" unbalanced="0"/>
    <cacheHierarchy uniqueName="[classes].[duration_minutes]" caption="duration_minutes" attribute="1" defaultMemberUniqueName="[classes].[duration_minutes].[All]" allUniqueName="[classes].[duration_minutes].[All]" dimensionUniqueName="[classes]" displayFolder="" count="0" memberValueDatatype="20" unbalanced="0"/>
    <cacheHierarchy uniqueName="[classes].[difficulty]" caption="difficulty" attribute="1" defaultMemberUniqueName="[classes].[difficulty].[All]" allUniqueName="[classes].[difficulty].[All]" dimensionUniqueName="[clas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me]" caption="name" attribute="1" defaultMemberUniqueName="[members].[name].[All]" allUniqueName="[members].[name].[All]" dimensionUniqueName="[members]" displayFolder="" count="0" memberValueDatatype="130" unbalanced="0"/>
    <cacheHierarchy uniqueName="[members].[gender]" caption="gender" attribute="1" defaultMemberUniqueName="[members].[gender].[All]" allUniqueName="[members].[gender].[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0"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fieldsUsage count="2">
        <fieldUsage x="-1"/>
        <fieldUsage x="2"/>
      </fieldsUsage>
    </cacheHierarchy>
    <cacheHierarchy uniqueName="[members].[membership_status]" caption="membership_status" attribute="1" defaultMemberUniqueName="[members].[membership_status].[All]" allUniqueName="[members].[membership_status].[All]" dimensionUniqueName="[memb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member_id]" caption="member_id" attribute="1" defaultMemberUniqueName="[payments].[member_id].[All]" allUniqueName="[payments].[member_id].[All]" dimensionUniqueName="[payments]" displayFolder="" count="0" memberValueDatatype="20" unbalanced="0"/>
    <cacheHierarchy uniqueName="[payments].[amount]" caption="amount" attribute="1" defaultMemberUniqueName="[payments].[amount].[All]" allUniqueName="[payments].[amount].[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0" memberValueDatatype="130" unbalanced="0"/>
    <cacheHierarchy uniqueName="[trainer].[trainer_id]" caption="trainer_id" attribute="1" defaultMemberUniqueName="[trainer].[trainer_id].[All]" allUniqueName="[trainer].[trainer_id].[All]" dimensionUniqueName="[trainer]" displayFolder="" count="0" memberValueDatatype="20" unbalanced="0"/>
    <cacheHierarchy uniqueName="[trainer].[trainer_name]" caption="trainer_name" attribute="1" defaultMemberUniqueName="[trainer].[trainer_name].[All]" allUniqueName="[trainer].[trainer_name].[All]" dimensionUniqueName="[trainer]" displayFolder="" count="0" memberValueDatatype="130" unbalanced="0"/>
    <cacheHierarchy uniqueName="[trainer].[specialization]" caption="specialization" attribute="1" defaultMemberUniqueName="[trainer].[specialization].[All]" allUniqueName="[trainer].[specialization].[All]" dimensionUniqueName="[trainer]" displayFolder="" count="0" memberValueDatatype="130" unbalanced="0"/>
    <cacheHierarchy uniqueName="[trainer].[experience_years]" caption="experience_years" attribute="1" defaultMemberUniqueName="[trainer].[experience_years].[All]" allUniqueName="[trainer].[experience_years].[All]" dimensionUniqueName="[trainer]" displayFolder="" count="0"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dimensions count="6">
    <dimension name="attendance" uniqueName="[attendance]" caption="attendance"/>
    <dimension name="classes" uniqueName="[classes]" caption="classes"/>
    <dimension measure="1" name="Measures" uniqueName="[Measures]" caption="Measures"/>
    <dimension name="members" uniqueName="[members]" caption="members"/>
    <dimension name="payments" uniqueName="[payments]" caption="payments"/>
    <dimension name="trainer" uniqueName="[trainer]" caption="trainer"/>
  </dimensions>
  <measureGroups count="5">
    <measureGroup name="attendance" caption="attendance"/>
    <measureGroup name="classes" caption="classes"/>
    <measureGroup name="members" caption="members"/>
    <measureGroup name="payments" caption="payments"/>
    <measureGroup name="trainer" caption="trainer"/>
  </measureGroups>
  <maps count="10">
    <map measureGroup="0" dimension="0"/>
    <map measureGroup="0" dimension="1"/>
    <map measureGroup="0" dimension="3"/>
    <map measureGroup="0" dimension="5"/>
    <map measureGroup="1" dimension="1"/>
    <map measureGroup="1" dimension="5"/>
    <map measureGroup="2" dimension="3"/>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kshay" refreshedDate="46098.897474074074" backgroundQuery="1" createdVersion="3" refreshedVersion="8" minRefreshableVersion="3" recordCount="0" supportSubquery="1" supportAdvancedDrill="1" xr:uid="{51634557-6DED-407B-9085-D6A85478E52F}">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attendance].[attendance_id]" caption="attendance_id" attribute="1" defaultMemberUniqueName="[attendance].[attendance_id].[All]" allUniqueName="[attendance].[attendance_id].[All]" dimensionUniqueName="[attendance]" displayFolder="" count="0" memberValueDatatype="20" unbalanced="0"/>
    <cacheHierarchy uniqueName="[attendance].[member_id]" caption="member_id" attribute="1" defaultMemberUniqueName="[attendance].[member_id].[All]" allUniqueName="[attendance].[member_id].[All]" dimensionUniqueName="[attendance]" displayFolder="" count="0" memberValueDatatype="20" unbalanced="0"/>
    <cacheHierarchy uniqueName="[attendance].[class_id]" caption="class_id" attribute="1" defaultMemberUniqueName="[attendance].[class_id].[All]" allUniqueName="[attendance].[class_id].[All]" dimensionUniqueName="[attendance]" displayFolder="" count="0" memberValueDatatype="20" unbalanced="0"/>
    <cacheHierarchy uniqueName="[attendance].[attendance_date]" caption="attendance_date" attribute="1" time="1" defaultMemberUniqueName="[attendance].[attendance_date].[All]" allUniqueName="[attendance].[attendance_date].[All]" dimensionUniqueName="[attendance]" displayFolder="" count="0" memberValueDatatype="7" unbalanced="0"/>
    <cacheHierarchy uniqueName="[classes].[class_id]" caption="class_id" attribute="1" defaultMemberUniqueName="[classes].[class_id].[All]" allUniqueName="[classes].[class_id].[All]" dimensionUniqueName="[classes]" displayFolder="" count="0" memberValueDatatype="20" unbalanced="0"/>
    <cacheHierarchy uniqueName="[classes].[class_name]" caption="class_name" attribute="1" defaultMemberUniqueName="[classes].[class_name].[All]" allUniqueName="[classes].[class_name].[All]" dimensionUniqueName="[classes]" displayFolder="" count="0" memberValueDatatype="130" unbalanced="0"/>
    <cacheHierarchy uniqueName="[classes].[trainer_id]" caption="trainer_id" attribute="1" defaultMemberUniqueName="[classes].[trainer_id].[All]" allUniqueName="[classes].[trainer_id].[All]" dimensionUniqueName="[classes]" displayFolder="" count="0" memberValueDatatype="20" unbalanced="0"/>
    <cacheHierarchy uniqueName="[classes].[duration_minutes]" caption="duration_minutes" attribute="1" defaultMemberUniqueName="[classes].[duration_minutes].[All]" allUniqueName="[classes].[duration_minutes].[All]" dimensionUniqueName="[classes]" displayFolder="" count="0" memberValueDatatype="20" unbalanced="0"/>
    <cacheHierarchy uniqueName="[classes].[difficulty]" caption="difficulty" attribute="1" defaultMemberUniqueName="[classes].[difficulty].[All]" allUniqueName="[classes].[difficulty].[All]" dimensionUniqueName="[clas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me]" caption="name" attribute="1" defaultMemberUniqueName="[members].[name].[All]" allUniqueName="[members].[name].[All]" dimensionUniqueName="[members]" displayFolder="" count="0" memberValueDatatype="130" unbalanced="0"/>
    <cacheHierarchy uniqueName="[members].[gender]" caption="gender" attribute="1" defaultMemberUniqueName="[members].[gender].[All]" allUniqueName="[members].[gender].[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city]" caption="city" attribute="1" defaultMemberUniqueName="[members].[city].[All]" allUniqueName="[members].[city].[All]" dimensionUniqueName="[members]" displayFolder="" count="2" memberValueDatatype="130" unbalanced="0"/>
    <cacheHierarchy uniqueName="[members].[join_date]" caption="join_date" attribute="1" time="1" defaultMemberUniqueName="[members].[join_date].[All]" allUniqueName="[members].[join_date].[All]" dimensionUniqueName="[members]" displayFolder="" count="0" memberValueDatatype="7" unbalanced="0"/>
    <cacheHierarchy uniqueName="[members].[membership_type]" caption="membership_type" attribute="1" defaultMemberUniqueName="[members].[membership_type].[All]" allUniqueName="[members].[membership_type].[All]" dimensionUniqueName="[members]" displayFolder="" count="2" memberValueDatatype="130" unbalanced="0"/>
    <cacheHierarchy uniqueName="[members].[membership_status]" caption="membership_status" attribute="1" defaultMemberUniqueName="[members].[membership_status].[All]" allUniqueName="[members].[membership_status].[All]" dimensionUniqueName="[memb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member_id]" caption="member_id" attribute="1" defaultMemberUniqueName="[payments].[member_id].[All]" allUniqueName="[payments].[member_id].[All]" dimensionUniqueName="[payments]" displayFolder="" count="0" memberValueDatatype="20" unbalanced="0"/>
    <cacheHierarchy uniqueName="[payments].[amount]" caption="amount" attribute="1" defaultMemberUniqueName="[payments].[amount].[All]" allUniqueName="[payments].[amount].[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date (Year)]" caption="payment_date (Year)" attribute="1" defaultMemberUniqueName="[payments].[payment_date (Year)].[All]" allUniqueName="[payments].[payment_date (Year)].[All]" dimensionUniqueName="[payments]" displayFolder="" count="2" memberValueDatatype="130" unbalanced="0"/>
    <cacheHierarchy uniqueName="[payments].[payment_date (Quarter)]" caption="payment_date (Quarter)" attribute="1" defaultMemberUniqueName="[payments].[payment_date (Quarter)].[All]" allUniqueName="[payments].[payment_date (Quarter)].[All]" dimensionUniqueName="[payments]" displayFolder="" count="0" memberValueDatatype="130" unbalanced="0"/>
    <cacheHierarchy uniqueName="[payments].[payment_date (Month)]" caption="payment_date (Month)" attribute="1" defaultMemberUniqueName="[payments].[payment_date (Month)].[All]" allUniqueName="[payments].[payment_date (Month)].[All]" dimensionUniqueName="[payments]" displayFolder="" count="0" memberValueDatatype="130" unbalanced="0"/>
    <cacheHierarchy uniqueName="[trainer].[trainer_id]" caption="trainer_id" attribute="1" defaultMemberUniqueName="[trainer].[trainer_id].[All]" allUniqueName="[trainer].[trainer_id].[All]" dimensionUniqueName="[trainer]" displayFolder="" count="0" memberValueDatatype="20" unbalanced="0"/>
    <cacheHierarchy uniqueName="[trainer].[trainer_name]" caption="trainer_name" attribute="1" defaultMemberUniqueName="[trainer].[trainer_name].[All]" allUniqueName="[trainer].[trainer_name].[All]" dimensionUniqueName="[trainer]" displayFolder="" count="0" memberValueDatatype="130" unbalanced="0"/>
    <cacheHierarchy uniqueName="[trainer].[specialization]" caption="specialization" attribute="1" defaultMemberUniqueName="[trainer].[specialization].[All]" allUniqueName="[trainer].[specialization].[All]" dimensionUniqueName="[trainer]" displayFolder="" count="0" memberValueDatatype="130" unbalanced="0"/>
    <cacheHierarchy uniqueName="[trainer].[experience_years]" caption="experience_years" attribute="1" defaultMemberUniqueName="[trainer].[experience_years].[All]" allUniqueName="[trainer].[experience_years].[All]" dimensionUniqueName="[trainer]" displayFolder="" count="0" memberValueDatatype="20" unbalanced="0"/>
    <cacheHierarchy uniqueName="[payments].[payment_date (Month Index)]" caption="payment_date (Month Index)" attribute="1" defaultMemberUniqueName="[payments].[payment_date (Month Index)].[All]" allUniqueName="[payments].[payment_date (Month Index)].[All]" dimensionUniqueName="[payments]" displayFolder="" count="0" memberValueDatatype="20" unbalanced="0" hidden="1"/>
    <cacheHierarchy uniqueName="[Measures].[__XL_Count members]" caption="__XL_Count members" measure="1" displayFolder="" measureGroup="members" count="0" hidden="1"/>
    <cacheHierarchy uniqueName="[Measures].[__XL_Count payments]" caption="__XL_Count payments" measure="1" displayFolder="" measureGroup="payments" count="0" hidden="1"/>
    <cacheHierarchy uniqueName="[Measures].[__XL_Count attendance]" caption="__XL_Count attendance" measure="1" displayFolder="" measureGroup="attendance" count="0" hidden="1"/>
    <cacheHierarchy uniqueName="[Measures].[__XL_Count classes]" caption="__XL_Count classes" measure="1" displayFolder="" measureGroup="classes" count="0" hidden="1"/>
    <cacheHierarchy uniqueName="[Measures].[__XL_Count trainer]" caption="__XL_Count trainer" measure="1" displayFolder="" measureGroup="trainer" count="0" hidden="1"/>
    <cacheHierarchy uniqueName="[Measures].[__No measures defined]" caption="__No measures defined" measure="1" displayFolder="" count="0" hidden="1"/>
    <cacheHierarchy uniqueName="[Measures].[Sum of amount]" caption="Sum of amount" measure="1" displayFolder="" measureGroup="payments" count="0" hidden="1">
      <extLst>
        <ext xmlns:x15="http://schemas.microsoft.com/office/spreadsheetml/2010/11/main" uri="{B97F6D7D-B522-45F9-BDA1-12C45D357490}">
          <x15:cacheHierarchy aggregatedColumn="19"/>
        </ext>
      </extLst>
    </cacheHierarchy>
    <cacheHierarchy uniqueName="[Measures].[Sum of attendance_id]" caption="Sum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attendance_id]" caption="Count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membership_status]" caption="Count of membership_status" measure="1" displayFolder="" measureGroup="members" count="0" hidden="1">
      <extLst>
        <ext xmlns:x15="http://schemas.microsoft.com/office/spreadsheetml/2010/11/main" uri="{B97F6D7D-B522-45F9-BDA1-12C45D357490}">
          <x15:cacheHierarchy aggregatedColumn="16"/>
        </ext>
      </extLst>
    </cacheHierarchy>
    <cacheHierarchy uniqueName="[Measures].[Sum of member_id]" caption="Sum of member_id" measure="1" displayFolder="" measureGroup="members" count="0" hidden="1">
      <extLst>
        <ext xmlns:x15="http://schemas.microsoft.com/office/spreadsheetml/2010/11/main" uri="{B97F6D7D-B522-45F9-BDA1-12C45D357490}">
          <x15:cacheHierarchy aggregatedColumn="9"/>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9"/>
        </ext>
      </extLst>
    </cacheHierarchy>
    <cacheHierarchy uniqueName="[Measures].[Sum of class_id]" caption="Sum of class_id" measure="1" displayFolder="" measureGroup="classes" count="0" hidden="1">
      <extLst>
        <ext xmlns:x15="http://schemas.microsoft.com/office/spreadsheetml/2010/11/main" uri="{B97F6D7D-B522-45F9-BDA1-12C45D357490}">
          <x15:cacheHierarchy aggregatedColumn="4"/>
        </ext>
      </extLst>
    </cacheHierarchy>
    <cacheHierarchy uniqueName="[Measures].[Count of class_name]" caption="Count of class_name" measure="1" displayFolder="" measureGroup="classes" count="0" hidden="1">
      <extLst>
        <ext xmlns:x15="http://schemas.microsoft.com/office/spreadsheetml/2010/11/main" uri="{B97F6D7D-B522-45F9-BDA1-12C45D357490}">
          <x15:cacheHierarchy aggregatedColumn="5"/>
        </ext>
      </extLst>
    </cacheHierarchy>
    <cacheHierarchy uniqueName="[Measures].[Average of attendance_id]" caption="Average of attendance_id" measure="1" displayFolder="" measureGroup="attendance" count="0" hidden="1">
      <extLst>
        <ext xmlns:x15="http://schemas.microsoft.com/office/spreadsheetml/2010/11/main" uri="{B97F6D7D-B522-45F9-BDA1-12C45D357490}">
          <x15:cacheHierarchy aggregatedColumn="0"/>
        </ext>
      </extLst>
    </cacheHierarchy>
    <cacheHierarchy uniqueName="[Measures].[Count of class_id]" caption="Count of class_id" measure="1" displayFolder="" measureGroup="classe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3990647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9D0C4-8AE8-4F78-B212-DD1BA43539D1}" name="PivotTable8"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2">
  <location ref="G20:G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lass_id" fld="0" subtotal="count" baseField="0" baseItem="0"/>
  </dataFields>
  <formats count="1">
    <format dxfId="0">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member_id"/>
    <pivotHierarchy dragToData="1"/>
    <pivotHierarchy dragToData="1"/>
    <pivotHierarchy dragToData="1"/>
    <pivotHierarchy dragToData="1" caption="Count of class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members]"/>
        <x15:activeTabTopLevelEntity name="[clas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149E2-A265-4D99-A6AA-42C1D7268080}" name="PivotTable5"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2">
  <location ref="G24:H45"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attendance_id" fld="1" subtotal="count" baseField="0" baseItem="0"/>
  </dataFields>
  <formats count="1">
    <format dxfId="1">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ttendance_id"/>
    <pivotHierarchy dragToData="1"/>
    <pivotHierarchy dragToData="1"/>
    <pivotHierarchy dragToData="1" caption="Count of member_id"/>
    <pivotHierarchy dragToData="1"/>
    <pivotHierarchy dragToData="1"/>
    <pivotHierarchy dragToData="1"/>
    <pivotHierarchy dragToData="1" caption="Count of class_id"/>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members]"/>
        <x15:activeTabTopLevelEntity name="[classes]"/>
        <x15:activeTabTopLevelEntity name="[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9D692-6497-4E45-9337-AE5D287D1425}"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D3:E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amount" fld="1" baseField="0" baseItem="0"/>
  </dataFields>
  <chartFormats count="4">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me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944057-F5C1-49C1-B5CB-4EC227DAA01F}"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20:D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member_id" fld="0" subtotal="count" baseField="0" baseItem="0"/>
  </dataFields>
  <formats count="1">
    <format dxfId="2">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memb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me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FC0548-0C92-4B18-92E5-DFF7430CCB79}"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amount"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0543D4-F09A-4A66-897E-98C2685071BA}"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11:E1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amount" fld="0" baseField="0" baseItem="0"/>
  </dataFields>
  <chartFormats count="8">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3"/>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me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ECB243-EB99-4B94-B1E0-5AD5610929CE}"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20:B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numFmtId="164"/>
  </dataFields>
  <formats count="1">
    <format dxfId="3">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me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ECBF48-F8A0-47A3-8AE1-A8E93BEE5602}"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G11:H16" firstHeaderRow="1" firstDataRow="1" firstDataCol="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name="Count of attendance_id" fld="1" subtotal="count" baseField="0" baseItem="0"/>
  </dataFields>
  <chartFormats count="4">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ttendance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8">
      <autoFilter ref="A1">
        <filterColumn colId="0">
          <top10 val="4" filterVal="4"/>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members]"/>
        <x15:activeTabTopLevelEntity name="[classes]"/>
        <x15:activeTabTopLevelEntity name="[attend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2347D354-7875-4F39-ABDD-C0F2D64EBD00}" autoFormatId="16" applyNumberFormats="0" applyBorderFormats="0" applyFontFormats="0" applyPatternFormats="0" applyAlignmentFormats="0" applyWidthHeightFormats="0">
  <queryTableRefresh nextId="6">
    <queryTableFields count="5">
      <queryTableField id="1" name="payment_id" tableColumnId="1"/>
      <queryTableField id="2" name="member_id" tableColumnId="2"/>
      <queryTableField id="3" name="amount" tableColumnId="3"/>
      <queryTableField id="4" name="payment_date" tableColumnId="4"/>
      <queryTableField id="5" name="payment_metho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1" xr16:uid="{2019D3D0-C6B5-43D7-A568-755E18E328F7}" autoFormatId="16" applyNumberFormats="0" applyBorderFormats="0" applyFontFormats="0" applyPatternFormats="0" applyAlignmentFormats="0" applyWidthHeightFormats="0">
  <queryTableRefresh nextId="5">
    <queryTableFields count="4">
      <queryTableField id="1" name="attendance_id" tableColumnId="1"/>
      <queryTableField id="2" name="member_id" tableColumnId="2"/>
      <queryTableField id="3" name="class_id" tableColumnId="3"/>
      <queryTableField id="4" name="attendance_dat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470B1C34-275F-4EC9-B53F-A2986627E166}" autoFormatId="16" applyNumberFormats="0" applyBorderFormats="0" applyFontFormats="0" applyPatternFormats="0" applyAlignmentFormats="0" applyWidthHeightFormats="0">
  <queryTableRefresh nextId="6">
    <queryTableFields count="5">
      <queryTableField id="1" name="class_id" tableColumnId="1"/>
      <queryTableField id="2" name="class_name" tableColumnId="2"/>
      <queryTableField id="3" name="trainer_id" tableColumnId="3"/>
      <queryTableField id="4" name="duration_minutes" tableColumnId="4"/>
      <queryTableField id="5" name="difficulty"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EBB269F3-0313-43FC-B470-9AA33A34A3CE}" autoFormatId="16" applyNumberFormats="0" applyBorderFormats="0" applyFontFormats="0" applyPatternFormats="0" applyAlignmentFormats="0" applyWidthHeightFormats="0">
  <queryTableRefresh nextId="9">
    <queryTableFields count="8">
      <queryTableField id="1" name="member_id" tableColumnId="1"/>
      <queryTableField id="2" name="name" tableColumnId="2"/>
      <queryTableField id="3" name="gender" tableColumnId="3"/>
      <queryTableField id="4" name="age" tableColumnId="4"/>
      <queryTableField id="5" name="city" tableColumnId="5"/>
      <queryTableField id="6" name="join_date" tableColumnId="6"/>
      <queryTableField id="7" name="membership_type" tableColumnId="7"/>
      <queryTableField id="8" name="membership_statu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F4D3561D-BBC0-43BF-A02A-E2B3E8EF073C}" autoFormatId="16" applyNumberFormats="0" applyBorderFormats="0" applyFontFormats="0" applyPatternFormats="0" applyAlignmentFormats="0" applyWidthHeightFormats="0">
  <queryTableRefresh nextId="5">
    <queryTableFields count="4">
      <queryTableField id="1" name="trainer_id" tableColumnId="1"/>
      <queryTableField id="2" name="trainer_name" tableColumnId="2"/>
      <queryTableField id="3" name="specialization" tableColumnId="3"/>
      <queryTableField id="4" name="experience_years"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E81988-F120-40DE-BB9E-FB788DC4802B}" sourceName="[members].[city]">
  <pivotTables>
    <pivotTable tabId="6" name="PivotTable4"/>
    <pivotTable tabId="6" name="PivotTable1"/>
    <pivotTable tabId="6" name="PivotTable2"/>
    <pivotTable tabId="6" name="PivotTable3"/>
    <pivotTable tabId="6" name="PivotTable6"/>
    <pivotTable tabId="6" name="PivotTable7"/>
    <pivotTable tabId="6" name="PivotTable8"/>
    <pivotTable tabId="6" name="PivotTable5"/>
  </pivotTables>
  <data>
    <olap pivotCacheId="399064752">
      <levels count="2">
        <level uniqueName="[members].[city].[(All)]" sourceCaption="(All)" count="0"/>
        <level uniqueName="[members].[city].[city]" sourceCaption="city" count="5">
          <ranges>
            <range startItem="0">
              <i n="[members].[city].&amp;[Delhi]" c="Delhi"/>
              <i n="[members].[city].&amp;[Faridabad]" c="Faridabad"/>
              <i n="[members].[city].&amp;[Ghaziabad]" c="Ghaziabad"/>
              <i n="[members].[city].&amp;[Gurgaon]" c="Gurgaon"/>
              <i n="[members].[city].&amp;[Noida]" c="Noida"/>
            </range>
          </ranges>
        </level>
      </levels>
      <selections count="1">
        <selection n="[memb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B5066548-C068-45A6-A144-FBDDC81C6637}" sourceName="[members].[membership_type]">
  <pivotTables>
    <pivotTable tabId="6" name="PivotTable4"/>
    <pivotTable tabId="6" name="PivotTable1"/>
    <pivotTable tabId="6" name="PivotTable2"/>
    <pivotTable tabId="6" name="PivotTable3"/>
    <pivotTable tabId="6" name="PivotTable6"/>
    <pivotTable tabId="6" name="PivotTable7"/>
    <pivotTable tabId="6" name="PivotTable8"/>
    <pivotTable tabId="6" name="PivotTable5"/>
  </pivotTables>
  <data>
    <olap pivotCacheId="399064752">
      <levels count="2">
        <level uniqueName="[members].[membership_type].[(All)]" sourceCaption="(All)" count="0"/>
        <level uniqueName="[members].[membership_type].[membership_type]" sourceCaption="membership_type" count="2">
          <ranges>
            <range startItem="0">
              <i n="[members].[membership_type].&amp;[Monthly]" c="Monthly"/>
              <i n="[members].[membership_type].&amp;[Yearly]" c="Yearly"/>
            </range>
          </ranges>
        </level>
      </levels>
      <selections count="1">
        <selection n="[members].[membership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date__Year" xr10:uid="{8D14C2F7-CBF4-49BD-9D38-E2DC11782E7D}" sourceName="[payments].[payment_date (Year)]">
  <pivotTables>
    <pivotTable tabId="6" name="PivotTable4"/>
    <pivotTable tabId="6" name="PivotTable1"/>
    <pivotTable tabId="6" name="PivotTable2"/>
    <pivotTable tabId="6" name="PivotTable3"/>
    <pivotTable tabId="6" name="PivotTable6"/>
    <pivotTable tabId="6" name="PivotTable7"/>
    <pivotTable tabId="6" name="PivotTable8"/>
    <pivotTable tabId="6" name="PivotTable5"/>
  </pivotTables>
  <data>
    <olap pivotCacheId="399064752">
      <levels count="2">
        <level uniqueName="[payments].[payment_date (Year)].[(All)]" sourceCaption="(All)" count="0"/>
        <level uniqueName="[payments].[payment_date (Year)].[payment_date (Year)]" sourceCaption="payment_date (Year)" count="2">
          <ranges>
            <range startItem="0">
              <i n="[payments].[payment_date (Year)].&amp;[2024]" c="2024"/>
              <i n="[payments].[payment_date (Year)].&amp;[2025]" c="2025"/>
            </range>
          </ranges>
        </level>
      </levels>
      <selections count="1">
        <selection n="[payments].[payment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5470B02-EA41-46D5-911C-09094093D1CB}" cache="Slicer_city" caption="City" columnCount="5" level="1" rowHeight="324000"/>
  <slicer name="membership_type" xr10:uid="{C4E345F9-8EEB-41C1-A0BC-ABEDFF51C7C6}" cache="Slicer_membership_type" caption="Membership Type" columnCount="2" level="1" rowHeight="324000"/>
  <slicer name="Year" xr10:uid="{9AA3A625-C224-40B3-A7D7-8F4C706D8B3E}" cache="Slicer_payment_date__Year" caption="Year" columnCount="2"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E24737-723E-4FC6-A28A-3E621475ABB5}" name="payments" displayName="payments" ref="A1:E180" tableType="queryTable" totalsRowShown="0">
  <autoFilter ref="A1:E180" xr:uid="{C5E24737-723E-4FC6-A28A-3E621475ABB5}"/>
  <tableColumns count="5">
    <tableColumn id="1" xr3:uid="{408D29EB-71D8-41C7-ADA1-3413F2E58C30}" uniqueName="1" name="payment_id" queryTableFieldId="1"/>
    <tableColumn id="2" xr3:uid="{F9D61862-1B23-45F5-AEF6-E498CAF529DC}" uniqueName="2" name="member_id" queryTableFieldId="2"/>
    <tableColumn id="3" xr3:uid="{877E4CA5-CEA3-4288-8D38-E65F01149119}" uniqueName="3" name="amount" queryTableFieldId="3"/>
    <tableColumn id="4" xr3:uid="{CEA33D45-CB7E-4C71-BEA6-B2D24E8DA422}" uniqueName="4" name="payment_date" queryTableFieldId="4" dataDxfId="16"/>
    <tableColumn id="5" xr3:uid="{AFCC7445-5DD7-4DFE-8B16-A68FE2313239}" uniqueName="5" name="payment_method" queryTableFieldId="5"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E77D4A-EAAB-4649-AE68-7AEDF8CF0FF4}" name="attendance" displayName="attendance" ref="A1:D523" tableType="queryTable" totalsRowShown="0">
  <autoFilter ref="A1:D523" xr:uid="{41E77D4A-EAAB-4649-AE68-7AEDF8CF0FF4}"/>
  <tableColumns count="4">
    <tableColumn id="1" xr3:uid="{C490527A-8773-4DE4-84D5-EFB9D22A824F}" uniqueName="1" name="attendance_id" queryTableFieldId="1"/>
    <tableColumn id="2" xr3:uid="{0CD3F63B-07D2-4100-9142-D549514DF13A}" uniqueName="2" name="member_id" queryTableFieldId="2"/>
    <tableColumn id="3" xr3:uid="{0DF36228-28C0-4922-8938-594D7A4E5213}" uniqueName="3" name="class_id" queryTableFieldId="3"/>
    <tableColumn id="4" xr3:uid="{0CDA201D-DB19-4FBB-8929-44A66BD55EB7}" uniqueName="4" name="attendance_date" queryTableFieldId="4"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A734DA-C251-4C7C-AF19-2D1DFA69B286}" name="classes" displayName="classes" ref="A1:E21" tableType="queryTable" totalsRowShown="0">
  <autoFilter ref="A1:E21" xr:uid="{34A734DA-C251-4C7C-AF19-2D1DFA69B286}"/>
  <tableColumns count="5">
    <tableColumn id="1" xr3:uid="{EE3A8384-62CB-4D0B-81F9-22CBC813FE85}" uniqueName="1" name="class_id" queryTableFieldId="1"/>
    <tableColumn id="2" xr3:uid="{2AF40316-B40B-40B7-984F-8545572B2FA4}" uniqueName="2" name="class_name" queryTableFieldId="2" dataDxfId="13"/>
    <tableColumn id="3" xr3:uid="{8DBD8793-D5FB-4C77-A890-F9B761653434}" uniqueName="3" name="trainer_id" queryTableFieldId="3"/>
    <tableColumn id="4" xr3:uid="{4FFC2044-C11E-47DD-9550-C36C1535F9BA}" uniqueName="4" name="duration_minutes" queryTableFieldId="4"/>
    <tableColumn id="5" xr3:uid="{297A0491-1C23-4806-B843-A1A33577CAAC}" uniqueName="5" name="difficulty" queryTableFieldId="5"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66888-F417-4D5F-8766-74C35015A4CB}" name="members" displayName="members" ref="A1:H130" tableType="queryTable" totalsRowShown="0">
  <autoFilter ref="A1:H130" xr:uid="{75066888-F417-4D5F-8766-74C35015A4CB}"/>
  <tableColumns count="8">
    <tableColumn id="1" xr3:uid="{EC25DEDA-07DD-4581-A4F8-E15A4A6C4FBC}" uniqueName="1" name="member_id" queryTableFieldId="1"/>
    <tableColumn id="2" xr3:uid="{87BF1DAD-A526-4D42-A911-38F7D46BFB20}" uniqueName="2" name="name" queryTableFieldId="2" dataDxfId="11"/>
    <tableColumn id="3" xr3:uid="{6424D5ED-F48A-44CA-80E0-EE5A8F3A144F}" uniqueName="3" name="gender" queryTableFieldId="3" dataDxfId="10"/>
    <tableColumn id="4" xr3:uid="{81155071-39E2-4EB8-9B50-0D566F7F0D2A}" uniqueName="4" name="age" queryTableFieldId="4"/>
    <tableColumn id="5" xr3:uid="{2A9181B6-1588-4470-BA8E-8BFF373316DB}" uniqueName="5" name="city" queryTableFieldId="5" dataDxfId="9"/>
    <tableColumn id="6" xr3:uid="{FECE162B-A787-441D-970C-89DB6E59EA73}" uniqueName="6" name="join_date" queryTableFieldId="6" dataDxfId="8"/>
    <tableColumn id="7" xr3:uid="{5DC76360-926C-4F52-80C9-0DE05E19B9D4}" uniqueName="7" name="membership_type" queryTableFieldId="7" dataDxfId="7"/>
    <tableColumn id="8" xr3:uid="{3590A568-903B-4DEC-95A0-DEF5D146EA68}" uniqueName="8" name="membership_status" queryTableFieldId="8"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5C9D24-C7AF-4841-84E5-3A1D8782DBB6}" name="trainer" displayName="trainer" ref="A1:D11" tableType="queryTable" totalsRowShown="0">
  <autoFilter ref="A1:D11" xr:uid="{245C9D24-C7AF-4841-84E5-3A1D8782DBB6}"/>
  <tableColumns count="4">
    <tableColumn id="1" xr3:uid="{03220BCA-9E26-40E3-8116-B28FFFC5CB65}" uniqueName="1" name="trainer_id" queryTableFieldId="1"/>
    <tableColumn id="2" xr3:uid="{C0BBC06A-2C04-4968-B833-755044D2B819}" uniqueName="2" name="trainer_name" queryTableFieldId="2" dataDxfId="5"/>
    <tableColumn id="3" xr3:uid="{BF07AF94-D1DA-47CA-9B08-4BE4BFFD6CDA}" uniqueName="3" name="specialization" queryTableFieldId="3" dataDxfId="4"/>
    <tableColumn id="4" xr3:uid="{8F43F1B1-4CB5-4729-9075-EC3FAA699E77}" uniqueName="4" name="experience_years"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37E00-5226-4309-8663-C51AB32C6082}">
  <dimension ref="A1:E180"/>
  <sheetViews>
    <sheetView workbookViewId="0"/>
  </sheetViews>
  <sheetFormatPr defaultRowHeight="14.4" x14ac:dyDescent="0.3"/>
  <cols>
    <col min="1" max="1" width="13.33203125" bestFit="1" customWidth="1"/>
    <col min="2" max="2" width="12.88671875" bestFit="1" customWidth="1"/>
    <col min="3" max="3" width="9.88671875" bestFit="1" customWidth="1"/>
    <col min="4" max="4" width="15.6640625" bestFit="1" customWidth="1"/>
    <col min="5" max="5" width="18.5546875" bestFit="1" customWidth="1"/>
  </cols>
  <sheetData>
    <row r="1" spans="1:5" x14ac:dyDescent="0.3">
      <c r="A1" t="s">
        <v>145</v>
      </c>
      <c r="B1" t="s">
        <v>0</v>
      </c>
      <c r="C1" t="s">
        <v>146</v>
      </c>
      <c r="D1" t="s">
        <v>147</v>
      </c>
      <c r="E1" t="s">
        <v>148</v>
      </c>
    </row>
    <row r="2" spans="1:5" x14ac:dyDescent="0.3">
      <c r="A2">
        <v>1</v>
      </c>
      <c r="B2">
        <v>59</v>
      </c>
      <c r="C2">
        <v>8000</v>
      </c>
      <c r="D2" s="1">
        <v>45603</v>
      </c>
      <c r="E2" t="s">
        <v>149</v>
      </c>
    </row>
    <row r="3" spans="1:5" x14ac:dyDescent="0.3">
      <c r="A3">
        <v>2</v>
      </c>
      <c r="B3">
        <v>25</v>
      </c>
      <c r="C3">
        <v>8000</v>
      </c>
      <c r="D3" s="1">
        <v>45643</v>
      </c>
      <c r="E3" t="s">
        <v>149</v>
      </c>
    </row>
    <row r="4" spans="1:5" x14ac:dyDescent="0.3">
      <c r="A4">
        <v>3</v>
      </c>
      <c r="B4">
        <v>43</v>
      </c>
      <c r="C4">
        <v>5000</v>
      </c>
      <c r="D4" s="1">
        <v>45517</v>
      </c>
      <c r="E4" t="s">
        <v>150</v>
      </c>
    </row>
    <row r="5" spans="1:5" x14ac:dyDescent="0.3">
      <c r="A5">
        <v>4</v>
      </c>
      <c r="B5">
        <v>51</v>
      </c>
      <c r="C5">
        <v>8000</v>
      </c>
      <c r="D5" s="1">
        <v>45386</v>
      </c>
      <c r="E5" t="s">
        <v>149</v>
      </c>
    </row>
    <row r="6" spans="1:5" x14ac:dyDescent="0.3">
      <c r="A6">
        <v>5</v>
      </c>
      <c r="B6">
        <v>143</v>
      </c>
      <c r="C6">
        <v>3000</v>
      </c>
      <c r="D6" s="1">
        <v>45353</v>
      </c>
      <c r="E6" t="s">
        <v>151</v>
      </c>
    </row>
    <row r="7" spans="1:5" x14ac:dyDescent="0.3">
      <c r="A7">
        <v>6</v>
      </c>
      <c r="B7">
        <v>80</v>
      </c>
      <c r="C7">
        <v>2000</v>
      </c>
      <c r="D7" s="1">
        <v>45401</v>
      </c>
      <c r="E7" t="s">
        <v>149</v>
      </c>
    </row>
    <row r="8" spans="1:5" x14ac:dyDescent="0.3">
      <c r="A8">
        <v>7</v>
      </c>
      <c r="B8">
        <v>108</v>
      </c>
      <c r="C8">
        <v>3000</v>
      </c>
      <c r="D8" s="1">
        <v>45659</v>
      </c>
      <c r="E8" t="s">
        <v>150</v>
      </c>
    </row>
    <row r="9" spans="1:5" x14ac:dyDescent="0.3">
      <c r="A9">
        <v>8</v>
      </c>
      <c r="B9">
        <v>42</v>
      </c>
      <c r="C9">
        <v>3000</v>
      </c>
      <c r="D9" s="1">
        <v>45390</v>
      </c>
      <c r="E9" t="s">
        <v>149</v>
      </c>
    </row>
    <row r="10" spans="1:5" x14ac:dyDescent="0.3">
      <c r="A10">
        <v>10</v>
      </c>
      <c r="B10">
        <v>39</v>
      </c>
      <c r="C10">
        <v>2000</v>
      </c>
      <c r="D10" s="1">
        <v>45416</v>
      </c>
      <c r="E10" t="s">
        <v>151</v>
      </c>
    </row>
    <row r="11" spans="1:5" x14ac:dyDescent="0.3">
      <c r="A11">
        <v>11</v>
      </c>
      <c r="B11">
        <v>141</v>
      </c>
      <c r="C11">
        <v>3000</v>
      </c>
      <c r="D11" s="1">
        <v>45650</v>
      </c>
      <c r="E11" t="s">
        <v>150</v>
      </c>
    </row>
    <row r="12" spans="1:5" x14ac:dyDescent="0.3">
      <c r="A12">
        <v>12</v>
      </c>
      <c r="B12">
        <v>96</v>
      </c>
      <c r="C12">
        <v>2000</v>
      </c>
      <c r="D12" s="1">
        <v>45676</v>
      </c>
      <c r="E12" t="s">
        <v>151</v>
      </c>
    </row>
    <row r="13" spans="1:5" x14ac:dyDescent="0.3">
      <c r="A13">
        <v>14</v>
      </c>
      <c r="B13">
        <v>112</v>
      </c>
      <c r="C13">
        <v>3000</v>
      </c>
      <c r="D13" s="1">
        <v>45575</v>
      </c>
      <c r="E13" t="s">
        <v>149</v>
      </c>
    </row>
    <row r="14" spans="1:5" x14ac:dyDescent="0.3">
      <c r="A14">
        <v>15</v>
      </c>
      <c r="B14">
        <v>101</v>
      </c>
      <c r="C14">
        <v>8000</v>
      </c>
      <c r="D14" s="1">
        <v>45519</v>
      </c>
      <c r="E14" t="s">
        <v>150</v>
      </c>
    </row>
    <row r="15" spans="1:5" x14ac:dyDescent="0.3">
      <c r="A15">
        <v>16</v>
      </c>
      <c r="B15">
        <v>119</v>
      </c>
      <c r="C15">
        <v>3000</v>
      </c>
      <c r="D15" s="1">
        <v>45316</v>
      </c>
      <c r="E15" t="s">
        <v>151</v>
      </c>
    </row>
    <row r="16" spans="1:5" x14ac:dyDescent="0.3">
      <c r="A16">
        <v>17</v>
      </c>
      <c r="B16">
        <v>52</v>
      </c>
      <c r="C16">
        <v>8000</v>
      </c>
      <c r="D16" s="1">
        <v>45472</v>
      </c>
      <c r="E16" t="s">
        <v>149</v>
      </c>
    </row>
    <row r="17" spans="1:5" x14ac:dyDescent="0.3">
      <c r="A17">
        <v>18</v>
      </c>
      <c r="B17">
        <v>57</v>
      </c>
      <c r="C17">
        <v>8000</v>
      </c>
      <c r="D17" s="1">
        <v>45598</v>
      </c>
      <c r="E17" t="s">
        <v>150</v>
      </c>
    </row>
    <row r="18" spans="1:5" x14ac:dyDescent="0.3">
      <c r="A18">
        <v>19</v>
      </c>
      <c r="B18">
        <v>109</v>
      </c>
      <c r="C18">
        <v>2000</v>
      </c>
      <c r="D18" s="1">
        <v>45337</v>
      </c>
      <c r="E18" t="s">
        <v>149</v>
      </c>
    </row>
    <row r="19" spans="1:5" x14ac:dyDescent="0.3">
      <c r="A19">
        <v>20</v>
      </c>
      <c r="B19">
        <v>16</v>
      </c>
      <c r="C19">
        <v>3000</v>
      </c>
      <c r="D19" s="1">
        <v>45445</v>
      </c>
      <c r="E19" t="s">
        <v>150</v>
      </c>
    </row>
    <row r="20" spans="1:5" x14ac:dyDescent="0.3">
      <c r="A20">
        <v>22</v>
      </c>
      <c r="B20">
        <v>108</v>
      </c>
      <c r="C20">
        <v>3000</v>
      </c>
      <c r="D20" s="1">
        <v>45680</v>
      </c>
      <c r="E20" t="s">
        <v>151</v>
      </c>
    </row>
    <row r="21" spans="1:5" x14ac:dyDescent="0.3">
      <c r="A21">
        <v>23</v>
      </c>
      <c r="B21">
        <v>42</v>
      </c>
      <c r="C21">
        <v>2000</v>
      </c>
      <c r="D21" s="1">
        <v>45318</v>
      </c>
      <c r="E21" t="s">
        <v>151</v>
      </c>
    </row>
    <row r="22" spans="1:5" x14ac:dyDescent="0.3">
      <c r="A22">
        <v>24</v>
      </c>
      <c r="B22">
        <v>110</v>
      </c>
      <c r="C22">
        <v>8000</v>
      </c>
      <c r="D22" s="1">
        <v>45480</v>
      </c>
      <c r="E22" t="s">
        <v>151</v>
      </c>
    </row>
    <row r="23" spans="1:5" x14ac:dyDescent="0.3">
      <c r="A23">
        <v>25</v>
      </c>
      <c r="B23">
        <v>3</v>
      </c>
      <c r="C23">
        <v>8000</v>
      </c>
      <c r="D23" s="1">
        <v>45413</v>
      </c>
      <c r="E23" t="s">
        <v>149</v>
      </c>
    </row>
    <row r="24" spans="1:5" x14ac:dyDescent="0.3">
      <c r="A24">
        <v>28</v>
      </c>
      <c r="B24">
        <v>132</v>
      </c>
      <c r="C24">
        <v>5000</v>
      </c>
      <c r="D24" s="1">
        <v>45487</v>
      </c>
      <c r="E24" t="s">
        <v>151</v>
      </c>
    </row>
    <row r="25" spans="1:5" x14ac:dyDescent="0.3">
      <c r="A25">
        <v>29</v>
      </c>
      <c r="B25">
        <v>94</v>
      </c>
      <c r="C25">
        <v>2000</v>
      </c>
      <c r="D25" s="1">
        <v>45488</v>
      </c>
      <c r="E25" t="s">
        <v>151</v>
      </c>
    </row>
    <row r="26" spans="1:5" x14ac:dyDescent="0.3">
      <c r="A26">
        <v>30</v>
      </c>
      <c r="B26">
        <v>51</v>
      </c>
      <c r="C26">
        <v>2000</v>
      </c>
      <c r="D26" s="1">
        <v>45404</v>
      </c>
      <c r="E26" t="s">
        <v>151</v>
      </c>
    </row>
    <row r="27" spans="1:5" x14ac:dyDescent="0.3">
      <c r="A27">
        <v>33</v>
      </c>
      <c r="B27">
        <v>46</v>
      </c>
      <c r="C27">
        <v>2000</v>
      </c>
      <c r="D27" s="1">
        <v>45337</v>
      </c>
      <c r="E27" t="s">
        <v>150</v>
      </c>
    </row>
    <row r="28" spans="1:5" x14ac:dyDescent="0.3">
      <c r="A28">
        <v>34</v>
      </c>
      <c r="B28">
        <v>12</v>
      </c>
      <c r="C28">
        <v>2000</v>
      </c>
      <c r="D28" s="1">
        <v>45363</v>
      </c>
      <c r="E28" t="s">
        <v>149</v>
      </c>
    </row>
    <row r="29" spans="1:5" x14ac:dyDescent="0.3">
      <c r="A29">
        <v>35</v>
      </c>
      <c r="B29">
        <v>92</v>
      </c>
      <c r="C29">
        <v>3000</v>
      </c>
      <c r="D29" s="1">
        <v>45633</v>
      </c>
      <c r="E29" t="s">
        <v>150</v>
      </c>
    </row>
    <row r="30" spans="1:5" x14ac:dyDescent="0.3">
      <c r="A30">
        <v>36</v>
      </c>
      <c r="B30">
        <v>22</v>
      </c>
      <c r="C30">
        <v>3000</v>
      </c>
      <c r="D30" s="1">
        <v>45529</v>
      </c>
      <c r="E30" t="s">
        <v>150</v>
      </c>
    </row>
    <row r="31" spans="1:5" x14ac:dyDescent="0.3">
      <c r="A31">
        <v>38</v>
      </c>
      <c r="B31">
        <v>45</v>
      </c>
      <c r="C31">
        <v>2000</v>
      </c>
      <c r="D31" s="1">
        <v>45680</v>
      </c>
      <c r="E31" t="s">
        <v>150</v>
      </c>
    </row>
    <row r="32" spans="1:5" x14ac:dyDescent="0.3">
      <c r="A32">
        <v>39</v>
      </c>
      <c r="B32">
        <v>11</v>
      </c>
      <c r="C32">
        <v>3000</v>
      </c>
      <c r="D32" s="1">
        <v>45462</v>
      </c>
      <c r="E32" t="s">
        <v>151</v>
      </c>
    </row>
    <row r="33" spans="1:5" x14ac:dyDescent="0.3">
      <c r="A33">
        <v>40</v>
      </c>
      <c r="B33">
        <v>10</v>
      </c>
      <c r="C33">
        <v>2000</v>
      </c>
      <c r="D33" s="1">
        <v>45599</v>
      </c>
      <c r="E33" t="s">
        <v>150</v>
      </c>
    </row>
    <row r="34" spans="1:5" x14ac:dyDescent="0.3">
      <c r="A34">
        <v>41</v>
      </c>
      <c r="B34">
        <v>4</v>
      </c>
      <c r="C34">
        <v>5000</v>
      </c>
      <c r="D34" s="1">
        <v>45659</v>
      </c>
      <c r="E34" t="s">
        <v>151</v>
      </c>
    </row>
    <row r="35" spans="1:5" x14ac:dyDescent="0.3">
      <c r="A35">
        <v>42</v>
      </c>
      <c r="B35">
        <v>29</v>
      </c>
      <c r="C35">
        <v>8000</v>
      </c>
      <c r="D35" s="1">
        <v>45547</v>
      </c>
      <c r="E35" t="s">
        <v>150</v>
      </c>
    </row>
    <row r="36" spans="1:5" x14ac:dyDescent="0.3">
      <c r="A36">
        <v>43</v>
      </c>
      <c r="B36">
        <v>112</v>
      </c>
      <c r="C36">
        <v>8000</v>
      </c>
      <c r="D36" s="1">
        <v>45409</v>
      </c>
      <c r="E36" t="s">
        <v>149</v>
      </c>
    </row>
    <row r="37" spans="1:5" x14ac:dyDescent="0.3">
      <c r="A37">
        <v>45</v>
      </c>
      <c r="B37">
        <v>64</v>
      </c>
      <c r="C37">
        <v>3000</v>
      </c>
      <c r="D37" s="1">
        <v>45471</v>
      </c>
      <c r="E37" t="s">
        <v>149</v>
      </c>
    </row>
    <row r="38" spans="1:5" x14ac:dyDescent="0.3">
      <c r="A38">
        <v>46</v>
      </c>
      <c r="B38">
        <v>85</v>
      </c>
      <c r="C38">
        <v>3000</v>
      </c>
      <c r="D38" s="1">
        <v>45497</v>
      </c>
      <c r="E38" t="s">
        <v>151</v>
      </c>
    </row>
    <row r="39" spans="1:5" x14ac:dyDescent="0.3">
      <c r="A39">
        <v>47</v>
      </c>
      <c r="B39">
        <v>33</v>
      </c>
      <c r="C39">
        <v>3000</v>
      </c>
      <c r="D39" s="1">
        <v>45644</v>
      </c>
      <c r="E39" t="s">
        <v>151</v>
      </c>
    </row>
    <row r="40" spans="1:5" x14ac:dyDescent="0.3">
      <c r="A40">
        <v>49</v>
      </c>
      <c r="B40">
        <v>111</v>
      </c>
      <c r="C40">
        <v>2000</v>
      </c>
      <c r="D40" s="1">
        <v>45525</v>
      </c>
      <c r="E40" t="s">
        <v>149</v>
      </c>
    </row>
    <row r="41" spans="1:5" x14ac:dyDescent="0.3">
      <c r="A41">
        <v>50</v>
      </c>
      <c r="B41">
        <v>93</v>
      </c>
      <c r="C41">
        <v>8000</v>
      </c>
      <c r="D41" s="1">
        <v>45360</v>
      </c>
      <c r="E41" t="s">
        <v>150</v>
      </c>
    </row>
    <row r="42" spans="1:5" x14ac:dyDescent="0.3">
      <c r="A42">
        <v>51</v>
      </c>
      <c r="B42">
        <v>69</v>
      </c>
      <c r="C42">
        <v>5000</v>
      </c>
      <c r="D42" s="1">
        <v>45535</v>
      </c>
      <c r="E42" t="s">
        <v>151</v>
      </c>
    </row>
    <row r="43" spans="1:5" x14ac:dyDescent="0.3">
      <c r="A43">
        <v>52</v>
      </c>
      <c r="B43">
        <v>2</v>
      </c>
      <c r="C43">
        <v>5000</v>
      </c>
      <c r="D43" s="1">
        <v>45319</v>
      </c>
      <c r="E43" t="s">
        <v>151</v>
      </c>
    </row>
    <row r="44" spans="1:5" x14ac:dyDescent="0.3">
      <c r="A44">
        <v>54</v>
      </c>
      <c r="B44">
        <v>56</v>
      </c>
      <c r="C44">
        <v>8000</v>
      </c>
      <c r="D44" s="1">
        <v>45608</v>
      </c>
      <c r="E44" t="s">
        <v>151</v>
      </c>
    </row>
    <row r="45" spans="1:5" x14ac:dyDescent="0.3">
      <c r="A45">
        <v>55</v>
      </c>
      <c r="B45">
        <v>23</v>
      </c>
      <c r="C45">
        <v>2000</v>
      </c>
      <c r="D45" s="1">
        <v>45461</v>
      </c>
      <c r="E45" t="s">
        <v>151</v>
      </c>
    </row>
    <row r="46" spans="1:5" x14ac:dyDescent="0.3">
      <c r="A46">
        <v>56</v>
      </c>
      <c r="B46">
        <v>22</v>
      </c>
      <c r="C46">
        <v>3000</v>
      </c>
      <c r="D46" s="1">
        <v>45578</v>
      </c>
      <c r="E46" t="s">
        <v>150</v>
      </c>
    </row>
    <row r="47" spans="1:5" x14ac:dyDescent="0.3">
      <c r="A47">
        <v>57</v>
      </c>
      <c r="B47">
        <v>27</v>
      </c>
      <c r="C47">
        <v>5000</v>
      </c>
      <c r="D47" s="1">
        <v>45376</v>
      </c>
      <c r="E47" t="s">
        <v>150</v>
      </c>
    </row>
    <row r="48" spans="1:5" x14ac:dyDescent="0.3">
      <c r="A48">
        <v>58</v>
      </c>
      <c r="B48">
        <v>117</v>
      </c>
      <c r="C48">
        <v>3000</v>
      </c>
      <c r="D48" s="1">
        <v>45544</v>
      </c>
      <c r="E48" t="s">
        <v>150</v>
      </c>
    </row>
    <row r="49" spans="1:5" x14ac:dyDescent="0.3">
      <c r="A49">
        <v>59</v>
      </c>
      <c r="B49">
        <v>85</v>
      </c>
      <c r="C49">
        <v>3000</v>
      </c>
      <c r="D49" s="1">
        <v>45632</v>
      </c>
      <c r="E49" t="s">
        <v>150</v>
      </c>
    </row>
    <row r="50" spans="1:5" x14ac:dyDescent="0.3">
      <c r="A50">
        <v>60</v>
      </c>
      <c r="B50">
        <v>19</v>
      </c>
      <c r="C50">
        <v>5000</v>
      </c>
      <c r="D50" s="1">
        <v>45512</v>
      </c>
      <c r="E50" t="s">
        <v>151</v>
      </c>
    </row>
    <row r="51" spans="1:5" x14ac:dyDescent="0.3">
      <c r="A51">
        <v>63</v>
      </c>
      <c r="B51">
        <v>149</v>
      </c>
      <c r="C51">
        <v>5000</v>
      </c>
      <c r="D51" s="1">
        <v>45607</v>
      </c>
      <c r="E51" t="s">
        <v>150</v>
      </c>
    </row>
    <row r="52" spans="1:5" x14ac:dyDescent="0.3">
      <c r="A52">
        <v>64</v>
      </c>
      <c r="B52">
        <v>29</v>
      </c>
      <c r="C52">
        <v>2000</v>
      </c>
      <c r="D52" s="1">
        <v>45348</v>
      </c>
      <c r="E52" t="s">
        <v>151</v>
      </c>
    </row>
    <row r="53" spans="1:5" x14ac:dyDescent="0.3">
      <c r="A53">
        <v>65</v>
      </c>
      <c r="B53">
        <v>111</v>
      </c>
      <c r="C53">
        <v>8000</v>
      </c>
      <c r="D53" s="1">
        <v>45418</v>
      </c>
      <c r="E53" t="s">
        <v>151</v>
      </c>
    </row>
    <row r="54" spans="1:5" x14ac:dyDescent="0.3">
      <c r="A54">
        <v>66</v>
      </c>
      <c r="B54">
        <v>97</v>
      </c>
      <c r="C54">
        <v>3000</v>
      </c>
      <c r="D54" s="1">
        <v>45476</v>
      </c>
      <c r="E54" t="s">
        <v>151</v>
      </c>
    </row>
    <row r="55" spans="1:5" x14ac:dyDescent="0.3">
      <c r="A55">
        <v>67</v>
      </c>
      <c r="B55">
        <v>110</v>
      </c>
      <c r="C55">
        <v>8000</v>
      </c>
      <c r="D55" s="1">
        <v>45648</v>
      </c>
      <c r="E55" t="s">
        <v>150</v>
      </c>
    </row>
    <row r="56" spans="1:5" x14ac:dyDescent="0.3">
      <c r="A56">
        <v>70</v>
      </c>
      <c r="B56">
        <v>1</v>
      </c>
      <c r="C56">
        <v>8000</v>
      </c>
      <c r="D56" s="1">
        <v>45376</v>
      </c>
      <c r="E56" t="s">
        <v>151</v>
      </c>
    </row>
    <row r="57" spans="1:5" x14ac:dyDescent="0.3">
      <c r="A57">
        <v>71</v>
      </c>
      <c r="B57">
        <v>7</v>
      </c>
      <c r="C57">
        <v>2000</v>
      </c>
      <c r="D57" s="1">
        <v>45572</v>
      </c>
      <c r="E57" t="s">
        <v>151</v>
      </c>
    </row>
    <row r="58" spans="1:5" x14ac:dyDescent="0.3">
      <c r="A58">
        <v>72</v>
      </c>
      <c r="B58">
        <v>36</v>
      </c>
      <c r="C58">
        <v>5000</v>
      </c>
      <c r="D58" s="1">
        <v>45462</v>
      </c>
      <c r="E58" t="s">
        <v>151</v>
      </c>
    </row>
    <row r="59" spans="1:5" x14ac:dyDescent="0.3">
      <c r="A59">
        <v>73</v>
      </c>
      <c r="B59">
        <v>11</v>
      </c>
      <c r="C59">
        <v>5000</v>
      </c>
      <c r="D59" s="1">
        <v>45503</v>
      </c>
      <c r="E59" t="s">
        <v>149</v>
      </c>
    </row>
    <row r="60" spans="1:5" x14ac:dyDescent="0.3">
      <c r="A60">
        <v>75</v>
      </c>
      <c r="B60">
        <v>79</v>
      </c>
      <c r="C60">
        <v>5000</v>
      </c>
      <c r="D60" s="1">
        <v>45671</v>
      </c>
      <c r="E60" t="s">
        <v>150</v>
      </c>
    </row>
    <row r="61" spans="1:5" x14ac:dyDescent="0.3">
      <c r="A61">
        <v>76</v>
      </c>
      <c r="B61">
        <v>3</v>
      </c>
      <c r="C61">
        <v>8000</v>
      </c>
      <c r="D61" s="1">
        <v>45353</v>
      </c>
      <c r="E61" t="s">
        <v>149</v>
      </c>
    </row>
    <row r="62" spans="1:5" x14ac:dyDescent="0.3">
      <c r="A62">
        <v>77</v>
      </c>
      <c r="B62">
        <v>3</v>
      </c>
      <c r="C62">
        <v>2000</v>
      </c>
      <c r="D62" s="1">
        <v>45398</v>
      </c>
      <c r="E62" t="s">
        <v>151</v>
      </c>
    </row>
    <row r="63" spans="1:5" x14ac:dyDescent="0.3">
      <c r="A63">
        <v>78</v>
      </c>
      <c r="B63">
        <v>55</v>
      </c>
      <c r="C63">
        <v>8000</v>
      </c>
      <c r="D63" s="1">
        <v>45400</v>
      </c>
      <c r="E63" t="s">
        <v>150</v>
      </c>
    </row>
    <row r="64" spans="1:5" x14ac:dyDescent="0.3">
      <c r="A64">
        <v>79</v>
      </c>
      <c r="B64">
        <v>147</v>
      </c>
      <c r="C64">
        <v>5000</v>
      </c>
      <c r="D64" s="1">
        <v>45530</v>
      </c>
      <c r="E64" t="s">
        <v>149</v>
      </c>
    </row>
    <row r="65" spans="1:5" x14ac:dyDescent="0.3">
      <c r="A65">
        <v>80</v>
      </c>
      <c r="B65">
        <v>8</v>
      </c>
      <c r="C65">
        <v>3000</v>
      </c>
      <c r="D65" s="1">
        <v>45484</v>
      </c>
      <c r="E65" t="s">
        <v>151</v>
      </c>
    </row>
    <row r="66" spans="1:5" x14ac:dyDescent="0.3">
      <c r="A66">
        <v>81</v>
      </c>
      <c r="B66">
        <v>76</v>
      </c>
      <c r="C66">
        <v>5000</v>
      </c>
      <c r="D66" s="1">
        <v>45610</v>
      </c>
      <c r="E66" t="s">
        <v>150</v>
      </c>
    </row>
    <row r="67" spans="1:5" x14ac:dyDescent="0.3">
      <c r="A67">
        <v>82</v>
      </c>
      <c r="B67">
        <v>119</v>
      </c>
      <c r="C67">
        <v>3000</v>
      </c>
      <c r="D67" s="1">
        <v>45632</v>
      </c>
      <c r="E67" t="s">
        <v>151</v>
      </c>
    </row>
    <row r="68" spans="1:5" x14ac:dyDescent="0.3">
      <c r="A68">
        <v>83</v>
      </c>
      <c r="B68">
        <v>122</v>
      </c>
      <c r="C68">
        <v>3000</v>
      </c>
      <c r="D68" s="1">
        <v>45299</v>
      </c>
      <c r="E68" t="s">
        <v>150</v>
      </c>
    </row>
    <row r="69" spans="1:5" x14ac:dyDescent="0.3">
      <c r="A69">
        <v>85</v>
      </c>
      <c r="B69">
        <v>46</v>
      </c>
      <c r="C69">
        <v>8000</v>
      </c>
      <c r="D69" s="1">
        <v>45507</v>
      </c>
      <c r="E69" t="s">
        <v>149</v>
      </c>
    </row>
    <row r="70" spans="1:5" x14ac:dyDescent="0.3">
      <c r="A70">
        <v>86</v>
      </c>
      <c r="B70">
        <v>18</v>
      </c>
      <c r="C70">
        <v>8000</v>
      </c>
      <c r="D70" s="1">
        <v>45561</v>
      </c>
      <c r="E70" t="s">
        <v>149</v>
      </c>
    </row>
    <row r="71" spans="1:5" x14ac:dyDescent="0.3">
      <c r="A71">
        <v>87</v>
      </c>
      <c r="B71">
        <v>129</v>
      </c>
      <c r="C71">
        <v>3000</v>
      </c>
      <c r="D71" s="1">
        <v>45689</v>
      </c>
      <c r="E71" t="s">
        <v>149</v>
      </c>
    </row>
    <row r="72" spans="1:5" x14ac:dyDescent="0.3">
      <c r="A72">
        <v>88</v>
      </c>
      <c r="B72">
        <v>35</v>
      </c>
      <c r="C72">
        <v>8000</v>
      </c>
      <c r="D72" s="1">
        <v>45450</v>
      </c>
      <c r="E72" t="s">
        <v>151</v>
      </c>
    </row>
    <row r="73" spans="1:5" x14ac:dyDescent="0.3">
      <c r="A73">
        <v>89</v>
      </c>
      <c r="B73">
        <v>89</v>
      </c>
      <c r="C73">
        <v>8000</v>
      </c>
      <c r="D73" s="1">
        <v>45634</v>
      </c>
      <c r="E73" t="s">
        <v>150</v>
      </c>
    </row>
    <row r="74" spans="1:5" x14ac:dyDescent="0.3">
      <c r="A74">
        <v>91</v>
      </c>
      <c r="B74">
        <v>107</v>
      </c>
      <c r="C74">
        <v>8000</v>
      </c>
      <c r="D74" s="1">
        <v>45534</v>
      </c>
      <c r="E74" t="s">
        <v>150</v>
      </c>
    </row>
    <row r="75" spans="1:5" x14ac:dyDescent="0.3">
      <c r="A75">
        <v>93</v>
      </c>
      <c r="B75">
        <v>82</v>
      </c>
      <c r="C75">
        <v>5000</v>
      </c>
      <c r="D75" s="1">
        <v>45408</v>
      </c>
      <c r="E75" t="s">
        <v>151</v>
      </c>
    </row>
    <row r="76" spans="1:5" x14ac:dyDescent="0.3">
      <c r="A76">
        <v>94</v>
      </c>
      <c r="B76">
        <v>64</v>
      </c>
      <c r="C76">
        <v>3000</v>
      </c>
      <c r="D76" s="1">
        <v>45654</v>
      </c>
      <c r="E76" t="s">
        <v>150</v>
      </c>
    </row>
    <row r="77" spans="1:5" x14ac:dyDescent="0.3">
      <c r="A77">
        <v>95</v>
      </c>
      <c r="B77">
        <v>19</v>
      </c>
      <c r="C77">
        <v>2000</v>
      </c>
      <c r="D77" s="1">
        <v>45495</v>
      </c>
      <c r="E77" t="s">
        <v>151</v>
      </c>
    </row>
    <row r="78" spans="1:5" x14ac:dyDescent="0.3">
      <c r="A78">
        <v>96</v>
      </c>
      <c r="B78">
        <v>57</v>
      </c>
      <c r="C78">
        <v>3000</v>
      </c>
      <c r="D78" s="1">
        <v>45664</v>
      </c>
      <c r="E78" t="s">
        <v>150</v>
      </c>
    </row>
    <row r="79" spans="1:5" x14ac:dyDescent="0.3">
      <c r="A79">
        <v>98</v>
      </c>
      <c r="B79">
        <v>108</v>
      </c>
      <c r="C79">
        <v>8000</v>
      </c>
      <c r="D79" s="1">
        <v>45635</v>
      </c>
      <c r="E79" t="s">
        <v>149</v>
      </c>
    </row>
    <row r="80" spans="1:5" x14ac:dyDescent="0.3">
      <c r="A80">
        <v>99</v>
      </c>
      <c r="B80">
        <v>43</v>
      </c>
      <c r="C80">
        <v>2000</v>
      </c>
      <c r="D80" s="1">
        <v>45641</v>
      </c>
      <c r="E80" t="s">
        <v>149</v>
      </c>
    </row>
    <row r="81" spans="1:5" x14ac:dyDescent="0.3">
      <c r="A81">
        <v>100</v>
      </c>
      <c r="B81">
        <v>92</v>
      </c>
      <c r="C81">
        <v>8000</v>
      </c>
      <c r="D81" s="1">
        <v>45348</v>
      </c>
      <c r="E81" t="s">
        <v>149</v>
      </c>
    </row>
    <row r="82" spans="1:5" x14ac:dyDescent="0.3">
      <c r="A82">
        <v>101</v>
      </c>
      <c r="B82">
        <v>9</v>
      </c>
      <c r="C82">
        <v>5000</v>
      </c>
      <c r="D82" s="1">
        <v>45448</v>
      </c>
      <c r="E82" t="s">
        <v>150</v>
      </c>
    </row>
    <row r="83" spans="1:5" x14ac:dyDescent="0.3">
      <c r="A83">
        <v>102</v>
      </c>
      <c r="B83">
        <v>71</v>
      </c>
      <c r="C83">
        <v>5000</v>
      </c>
      <c r="D83" s="1">
        <v>45400</v>
      </c>
      <c r="E83" t="s">
        <v>151</v>
      </c>
    </row>
    <row r="84" spans="1:5" x14ac:dyDescent="0.3">
      <c r="A84">
        <v>103</v>
      </c>
      <c r="B84">
        <v>23</v>
      </c>
      <c r="C84">
        <v>5000</v>
      </c>
      <c r="D84" s="1">
        <v>45465</v>
      </c>
      <c r="E84" t="s">
        <v>149</v>
      </c>
    </row>
    <row r="85" spans="1:5" x14ac:dyDescent="0.3">
      <c r="A85">
        <v>104</v>
      </c>
      <c r="B85">
        <v>87</v>
      </c>
      <c r="C85">
        <v>2000</v>
      </c>
      <c r="D85" s="1">
        <v>45359</v>
      </c>
      <c r="E85" t="s">
        <v>150</v>
      </c>
    </row>
    <row r="86" spans="1:5" x14ac:dyDescent="0.3">
      <c r="A86">
        <v>105</v>
      </c>
      <c r="B86">
        <v>5</v>
      </c>
      <c r="C86">
        <v>3000</v>
      </c>
      <c r="D86" s="1">
        <v>45678</v>
      </c>
      <c r="E86" t="s">
        <v>149</v>
      </c>
    </row>
    <row r="87" spans="1:5" x14ac:dyDescent="0.3">
      <c r="A87">
        <v>106</v>
      </c>
      <c r="B87">
        <v>7</v>
      </c>
      <c r="C87">
        <v>2000</v>
      </c>
      <c r="D87" s="1">
        <v>45529</v>
      </c>
      <c r="E87" t="s">
        <v>149</v>
      </c>
    </row>
    <row r="88" spans="1:5" x14ac:dyDescent="0.3">
      <c r="A88">
        <v>107</v>
      </c>
      <c r="B88">
        <v>99</v>
      </c>
      <c r="C88">
        <v>8000</v>
      </c>
      <c r="D88" s="1">
        <v>45586</v>
      </c>
      <c r="E88" t="s">
        <v>151</v>
      </c>
    </row>
    <row r="89" spans="1:5" x14ac:dyDescent="0.3">
      <c r="A89">
        <v>108</v>
      </c>
      <c r="B89">
        <v>105</v>
      </c>
      <c r="C89">
        <v>8000</v>
      </c>
      <c r="D89" s="1">
        <v>45473</v>
      </c>
      <c r="E89" t="s">
        <v>150</v>
      </c>
    </row>
    <row r="90" spans="1:5" x14ac:dyDescent="0.3">
      <c r="A90">
        <v>110</v>
      </c>
      <c r="B90">
        <v>142</v>
      </c>
      <c r="C90">
        <v>8000</v>
      </c>
      <c r="D90" s="1">
        <v>45343</v>
      </c>
      <c r="E90" t="s">
        <v>149</v>
      </c>
    </row>
    <row r="91" spans="1:5" x14ac:dyDescent="0.3">
      <c r="A91">
        <v>111</v>
      </c>
      <c r="B91">
        <v>109</v>
      </c>
      <c r="C91">
        <v>5000</v>
      </c>
      <c r="D91" s="1">
        <v>45318</v>
      </c>
      <c r="E91" t="s">
        <v>151</v>
      </c>
    </row>
    <row r="92" spans="1:5" x14ac:dyDescent="0.3">
      <c r="A92">
        <v>112</v>
      </c>
      <c r="B92">
        <v>93</v>
      </c>
      <c r="C92">
        <v>5000</v>
      </c>
      <c r="D92" s="1">
        <v>45393</v>
      </c>
      <c r="E92" t="s">
        <v>151</v>
      </c>
    </row>
    <row r="93" spans="1:5" x14ac:dyDescent="0.3">
      <c r="A93">
        <v>114</v>
      </c>
      <c r="B93">
        <v>21</v>
      </c>
      <c r="C93">
        <v>5000</v>
      </c>
      <c r="D93" s="1">
        <v>45374</v>
      </c>
      <c r="E93" t="s">
        <v>151</v>
      </c>
    </row>
    <row r="94" spans="1:5" x14ac:dyDescent="0.3">
      <c r="A94">
        <v>115</v>
      </c>
      <c r="B94">
        <v>119</v>
      </c>
      <c r="C94">
        <v>5000</v>
      </c>
      <c r="D94" s="1">
        <v>45325</v>
      </c>
      <c r="E94" t="s">
        <v>149</v>
      </c>
    </row>
    <row r="95" spans="1:5" x14ac:dyDescent="0.3">
      <c r="A95">
        <v>118</v>
      </c>
      <c r="B95">
        <v>63</v>
      </c>
      <c r="C95">
        <v>3000</v>
      </c>
      <c r="D95" s="1">
        <v>45688</v>
      </c>
      <c r="E95" t="s">
        <v>150</v>
      </c>
    </row>
    <row r="96" spans="1:5" x14ac:dyDescent="0.3">
      <c r="A96">
        <v>119</v>
      </c>
      <c r="B96">
        <v>100</v>
      </c>
      <c r="C96">
        <v>3000</v>
      </c>
      <c r="D96" s="1">
        <v>45540</v>
      </c>
      <c r="E96" t="s">
        <v>150</v>
      </c>
    </row>
    <row r="97" spans="1:5" x14ac:dyDescent="0.3">
      <c r="A97">
        <v>120</v>
      </c>
      <c r="B97">
        <v>112</v>
      </c>
      <c r="C97">
        <v>8000</v>
      </c>
      <c r="D97" s="1">
        <v>45622</v>
      </c>
      <c r="E97" t="s">
        <v>150</v>
      </c>
    </row>
    <row r="98" spans="1:5" x14ac:dyDescent="0.3">
      <c r="A98">
        <v>121</v>
      </c>
      <c r="B98">
        <v>97</v>
      </c>
      <c r="C98">
        <v>5000</v>
      </c>
      <c r="D98" s="1">
        <v>45635</v>
      </c>
      <c r="E98" t="s">
        <v>151</v>
      </c>
    </row>
    <row r="99" spans="1:5" x14ac:dyDescent="0.3">
      <c r="A99">
        <v>122</v>
      </c>
      <c r="B99">
        <v>40</v>
      </c>
      <c r="C99">
        <v>5000</v>
      </c>
      <c r="D99" s="1">
        <v>45363</v>
      </c>
      <c r="E99" t="s">
        <v>150</v>
      </c>
    </row>
    <row r="100" spans="1:5" x14ac:dyDescent="0.3">
      <c r="A100">
        <v>123</v>
      </c>
      <c r="B100">
        <v>58</v>
      </c>
      <c r="C100">
        <v>8000</v>
      </c>
      <c r="D100" s="1">
        <v>45636</v>
      </c>
      <c r="E100" t="s">
        <v>149</v>
      </c>
    </row>
    <row r="101" spans="1:5" x14ac:dyDescent="0.3">
      <c r="A101">
        <v>125</v>
      </c>
      <c r="B101">
        <v>17</v>
      </c>
      <c r="C101">
        <v>3000</v>
      </c>
      <c r="D101" s="1">
        <v>45617</v>
      </c>
      <c r="E101" t="s">
        <v>149</v>
      </c>
    </row>
    <row r="102" spans="1:5" x14ac:dyDescent="0.3">
      <c r="A102">
        <v>126</v>
      </c>
      <c r="B102">
        <v>8</v>
      </c>
      <c r="C102">
        <v>8000</v>
      </c>
      <c r="D102" s="1">
        <v>45329</v>
      </c>
      <c r="E102" t="s">
        <v>149</v>
      </c>
    </row>
    <row r="103" spans="1:5" x14ac:dyDescent="0.3">
      <c r="A103">
        <v>127</v>
      </c>
      <c r="B103">
        <v>16</v>
      </c>
      <c r="C103">
        <v>2000</v>
      </c>
      <c r="D103" s="1">
        <v>45359</v>
      </c>
      <c r="E103" t="s">
        <v>151</v>
      </c>
    </row>
    <row r="104" spans="1:5" x14ac:dyDescent="0.3">
      <c r="A104">
        <v>128</v>
      </c>
      <c r="B104">
        <v>91</v>
      </c>
      <c r="C104">
        <v>8000</v>
      </c>
      <c r="D104" s="1">
        <v>45434</v>
      </c>
      <c r="E104" t="s">
        <v>151</v>
      </c>
    </row>
    <row r="105" spans="1:5" x14ac:dyDescent="0.3">
      <c r="A105">
        <v>130</v>
      </c>
      <c r="B105">
        <v>105</v>
      </c>
      <c r="C105">
        <v>2000</v>
      </c>
      <c r="D105" s="1">
        <v>45630</v>
      </c>
      <c r="E105" t="s">
        <v>149</v>
      </c>
    </row>
    <row r="106" spans="1:5" x14ac:dyDescent="0.3">
      <c r="A106">
        <v>131</v>
      </c>
      <c r="B106">
        <v>117</v>
      </c>
      <c r="C106">
        <v>3000</v>
      </c>
      <c r="D106" s="1">
        <v>45634</v>
      </c>
      <c r="E106" t="s">
        <v>149</v>
      </c>
    </row>
    <row r="107" spans="1:5" x14ac:dyDescent="0.3">
      <c r="A107">
        <v>132</v>
      </c>
      <c r="B107">
        <v>80</v>
      </c>
      <c r="C107">
        <v>2000</v>
      </c>
      <c r="D107" s="1">
        <v>45608</v>
      </c>
      <c r="E107" t="s">
        <v>151</v>
      </c>
    </row>
    <row r="108" spans="1:5" x14ac:dyDescent="0.3">
      <c r="A108">
        <v>133</v>
      </c>
      <c r="B108">
        <v>7</v>
      </c>
      <c r="C108">
        <v>8000</v>
      </c>
      <c r="D108" s="1">
        <v>45439</v>
      </c>
      <c r="E108" t="s">
        <v>149</v>
      </c>
    </row>
    <row r="109" spans="1:5" x14ac:dyDescent="0.3">
      <c r="A109">
        <v>135</v>
      </c>
      <c r="B109">
        <v>8</v>
      </c>
      <c r="C109">
        <v>8000</v>
      </c>
      <c r="D109" s="1">
        <v>45331</v>
      </c>
      <c r="E109" t="s">
        <v>149</v>
      </c>
    </row>
    <row r="110" spans="1:5" x14ac:dyDescent="0.3">
      <c r="A110">
        <v>136</v>
      </c>
      <c r="B110">
        <v>118</v>
      </c>
      <c r="C110">
        <v>3000</v>
      </c>
      <c r="D110" s="1">
        <v>45639</v>
      </c>
      <c r="E110" t="s">
        <v>151</v>
      </c>
    </row>
    <row r="111" spans="1:5" x14ac:dyDescent="0.3">
      <c r="A111">
        <v>137</v>
      </c>
      <c r="B111">
        <v>44</v>
      </c>
      <c r="C111">
        <v>2000</v>
      </c>
      <c r="D111" s="1">
        <v>45392</v>
      </c>
      <c r="E111" t="s">
        <v>150</v>
      </c>
    </row>
    <row r="112" spans="1:5" x14ac:dyDescent="0.3">
      <c r="A112">
        <v>139</v>
      </c>
      <c r="B112">
        <v>137</v>
      </c>
      <c r="C112">
        <v>3000</v>
      </c>
      <c r="D112" s="1">
        <v>45363</v>
      </c>
      <c r="E112" t="s">
        <v>151</v>
      </c>
    </row>
    <row r="113" spans="1:5" x14ac:dyDescent="0.3">
      <c r="A113">
        <v>140</v>
      </c>
      <c r="B113">
        <v>113</v>
      </c>
      <c r="C113">
        <v>5000</v>
      </c>
      <c r="D113" s="1">
        <v>45687</v>
      </c>
      <c r="E113" t="s">
        <v>150</v>
      </c>
    </row>
    <row r="114" spans="1:5" x14ac:dyDescent="0.3">
      <c r="A114">
        <v>142</v>
      </c>
      <c r="B114">
        <v>141</v>
      </c>
      <c r="C114">
        <v>8000</v>
      </c>
      <c r="D114" s="1">
        <v>45384</v>
      </c>
      <c r="E114" t="s">
        <v>151</v>
      </c>
    </row>
    <row r="115" spans="1:5" x14ac:dyDescent="0.3">
      <c r="A115">
        <v>143</v>
      </c>
      <c r="B115">
        <v>51</v>
      </c>
      <c r="C115">
        <v>3000</v>
      </c>
      <c r="D115" s="1">
        <v>45649</v>
      </c>
      <c r="E115" t="s">
        <v>149</v>
      </c>
    </row>
    <row r="116" spans="1:5" x14ac:dyDescent="0.3">
      <c r="A116">
        <v>144</v>
      </c>
      <c r="B116">
        <v>30</v>
      </c>
      <c r="C116">
        <v>5000</v>
      </c>
      <c r="D116" s="1">
        <v>45316</v>
      </c>
      <c r="E116" t="s">
        <v>150</v>
      </c>
    </row>
    <row r="117" spans="1:5" x14ac:dyDescent="0.3">
      <c r="A117">
        <v>145</v>
      </c>
      <c r="B117">
        <v>105</v>
      </c>
      <c r="C117">
        <v>2000</v>
      </c>
      <c r="D117" s="1">
        <v>45400</v>
      </c>
      <c r="E117" t="s">
        <v>150</v>
      </c>
    </row>
    <row r="118" spans="1:5" x14ac:dyDescent="0.3">
      <c r="A118">
        <v>146</v>
      </c>
      <c r="B118">
        <v>115</v>
      </c>
      <c r="C118">
        <v>8000</v>
      </c>
      <c r="D118" s="1">
        <v>45628</v>
      </c>
      <c r="E118" t="s">
        <v>150</v>
      </c>
    </row>
    <row r="119" spans="1:5" x14ac:dyDescent="0.3">
      <c r="A119">
        <v>147</v>
      </c>
      <c r="B119">
        <v>133</v>
      </c>
      <c r="C119">
        <v>2000</v>
      </c>
      <c r="D119" s="1">
        <v>45640</v>
      </c>
      <c r="E119" t="s">
        <v>149</v>
      </c>
    </row>
    <row r="120" spans="1:5" x14ac:dyDescent="0.3">
      <c r="A120">
        <v>149</v>
      </c>
      <c r="B120">
        <v>99</v>
      </c>
      <c r="C120">
        <v>2000</v>
      </c>
      <c r="D120" s="1">
        <v>45620</v>
      </c>
      <c r="E120" t="s">
        <v>151</v>
      </c>
    </row>
    <row r="121" spans="1:5" x14ac:dyDescent="0.3">
      <c r="A121">
        <v>150</v>
      </c>
      <c r="B121">
        <v>96</v>
      </c>
      <c r="C121">
        <v>5000</v>
      </c>
      <c r="D121" s="1">
        <v>45450</v>
      </c>
      <c r="E121" t="s">
        <v>151</v>
      </c>
    </row>
    <row r="122" spans="1:5" x14ac:dyDescent="0.3">
      <c r="A122">
        <v>151</v>
      </c>
      <c r="B122">
        <v>79</v>
      </c>
      <c r="C122">
        <v>2000</v>
      </c>
      <c r="D122" s="1">
        <v>45419</v>
      </c>
      <c r="E122" t="s">
        <v>151</v>
      </c>
    </row>
    <row r="123" spans="1:5" x14ac:dyDescent="0.3">
      <c r="A123">
        <v>152</v>
      </c>
      <c r="B123">
        <v>40</v>
      </c>
      <c r="C123">
        <v>2000</v>
      </c>
      <c r="D123" s="1">
        <v>45470</v>
      </c>
      <c r="E123" t="s">
        <v>149</v>
      </c>
    </row>
    <row r="124" spans="1:5" x14ac:dyDescent="0.3">
      <c r="A124">
        <v>153</v>
      </c>
      <c r="B124">
        <v>29</v>
      </c>
      <c r="C124">
        <v>8000</v>
      </c>
      <c r="D124" s="1">
        <v>45525</v>
      </c>
      <c r="E124" t="s">
        <v>151</v>
      </c>
    </row>
    <row r="125" spans="1:5" x14ac:dyDescent="0.3">
      <c r="A125">
        <v>154</v>
      </c>
      <c r="B125">
        <v>110</v>
      </c>
      <c r="C125">
        <v>5000</v>
      </c>
      <c r="D125" s="1">
        <v>45415</v>
      </c>
      <c r="E125" t="s">
        <v>151</v>
      </c>
    </row>
    <row r="126" spans="1:5" x14ac:dyDescent="0.3">
      <c r="A126">
        <v>155</v>
      </c>
      <c r="B126">
        <v>22</v>
      </c>
      <c r="C126">
        <v>8000</v>
      </c>
      <c r="D126" s="1">
        <v>45472</v>
      </c>
      <c r="E126" t="s">
        <v>151</v>
      </c>
    </row>
    <row r="127" spans="1:5" x14ac:dyDescent="0.3">
      <c r="A127">
        <v>156</v>
      </c>
      <c r="B127">
        <v>96</v>
      </c>
      <c r="C127">
        <v>8000</v>
      </c>
      <c r="D127" s="1">
        <v>45585</v>
      </c>
      <c r="E127" t="s">
        <v>149</v>
      </c>
    </row>
    <row r="128" spans="1:5" x14ac:dyDescent="0.3">
      <c r="A128">
        <v>157</v>
      </c>
      <c r="B128">
        <v>3</v>
      </c>
      <c r="C128">
        <v>5000</v>
      </c>
      <c r="D128" s="1">
        <v>45483</v>
      </c>
      <c r="E128" t="s">
        <v>151</v>
      </c>
    </row>
    <row r="129" spans="1:5" x14ac:dyDescent="0.3">
      <c r="A129">
        <v>158</v>
      </c>
      <c r="B129">
        <v>131</v>
      </c>
      <c r="C129">
        <v>8000</v>
      </c>
      <c r="D129" s="1">
        <v>45431</v>
      </c>
      <c r="E129" t="s">
        <v>150</v>
      </c>
    </row>
    <row r="130" spans="1:5" x14ac:dyDescent="0.3">
      <c r="A130">
        <v>159</v>
      </c>
      <c r="B130">
        <v>110</v>
      </c>
      <c r="C130">
        <v>5000</v>
      </c>
      <c r="D130" s="1">
        <v>45454</v>
      </c>
      <c r="E130" t="s">
        <v>149</v>
      </c>
    </row>
    <row r="131" spans="1:5" x14ac:dyDescent="0.3">
      <c r="A131">
        <v>160</v>
      </c>
      <c r="B131">
        <v>57</v>
      </c>
      <c r="C131">
        <v>8000</v>
      </c>
      <c r="D131" s="1">
        <v>45579</v>
      </c>
      <c r="E131" t="s">
        <v>151</v>
      </c>
    </row>
    <row r="132" spans="1:5" x14ac:dyDescent="0.3">
      <c r="A132">
        <v>161</v>
      </c>
      <c r="B132">
        <v>29</v>
      </c>
      <c r="C132">
        <v>2000</v>
      </c>
      <c r="D132" s="1">
        <v>45390</v>
      </c>
      <c r="E132" t="s">
        <v>149</v>
      </c>
    </row>
    <row r="133" spans="1:5" x14ac:dyDescent="0.3">
      <c r="A133">
        <v>162</v>
      </c>
      <c r="B133">
        <v>34</v>
      </c>
      <c r="C133">
        <v>3000</v>
      </c>
      <c r="D133" s="1">
        <v>45581</v>
      </c>
      <c r="E133" t="s">
        <v>151</v>
      </c>
    </row>
    <row r="134" spans="1:5" x14ac:dyDescent="0.3">
      <c r="A134">
        <v>165</v>
      </c>
      <c r="B134">
        <v>133</v>
      </c>
      <c r="C134">
        <v>2000</v>
      </c>
      <c r="D134" s="1">
        <v>45675</v>
      </c>
      <c r="E134" t="s">
        <v>149</v>
      </c>
    </row>
    <row r="135" spans="1:5" x14ac:dyDescent="0.3">
      <c r="A135">
        <v>166</v>
      </c>
      <c r="B135">
        <v>76</v>
      </c>
      <c r="C135">
        <v>2000</v>
      </c>
      <c r="D135" s="1">
        <v>45644</v>
      </c>
      <c r="E135" t="s">
        <v>150</v>
      </c>
    </row>
    <row r="136" spans="1:5" x14ac:dyDescent="0.3">
      <c r="A136">
        <v>168</v>
      </c>
      <c r="B136">
        <v>130</v>
      </c>
      <c r="C136">
        <v>5000</v>
      </c>
      <c r="D136" s="1">
        <v>45441</v>
      </c>
      <c r="E136" t="s">
        <v>151</v>
      </c>
    </row>
    <row r="137" spans="1:5" x14ac:dyDescent="0.3">
      <c r="A137">
        <v>169</v>
      </c>
      <c r="B137">
        <v>25</v>
      </c>
      <c r="C137">
        <v>3000</v>
      </c>
      <c r="D137" s="1">
        <v>45403</v>
      </c>
      <c r="E137" t="s">
        <v>151</v>
      </c>
    </row>
    <row r="138" spans="1:5" x14ac:dyDescent="0.3">
      <c r="A138">
        <v>170</v>
      </c>
      <c r="B138">
        <v>37</v>
      </c>
      <c r="C138">
        <v>5000</v>
      </c>
      <c r="D138" s="1">
        <v>45558</v>
      </c>
      <c r="E138" t="s">
        <v>151</v>
      </c>
    </row>
    <row r="139" spans="1:5" x14ac:dyDescent="0.3">
      <c r="A139">
        <v>171</v>
      </c>
      <c r="B139">
        <v>94</v>
      </c>
      <c r="C139">
        <v>8000</v>
      </c>
      <c r="D139" s="1">
        <v>45558</v>
      </c>
      <c r="E139" t="s">
        <v>149</v>
      </c>
    </row>
    <row r="140" spans="1:5" x14ac:dyDescent="0.3">
      <c r="A140">
        <v>172</v>
      </c>
      <c r="B140">
        <v>73</v>
      </c>
      <c r="C140">
        <v>3000</v>
      </c>
      <c r="D140" s="1">
        <v>45499</v>
      </c>
      <c r="E140" t="s">
        <v>150</v>
      </c>
    </row>
    <row r="141" spans="1:5" x14ac:dyDescent="0.3">
      <c r="A141">
        <v>174</v>
      </c>
      <c r="B141">
        <v>45</v>
      </c>
      <c r="C141">
        <v>5000</v>
      </c>
      <c r="D141" s="1">
        <v>45367</v>
      </c>
      <c r="E141" t="s">
        <v>149</v>
      </c>
    </row>
    <row r="142" spans="1:5" x14ac:dyDescent="0.3">
      <c r="A142">
        <v>175</v>
      </c>
      <c r="B142">
        <v>80</v>
      </c>
      <c r="C142">
        <v>3000</v>
      </c>
      <c r="D142" s="1">
        <v>45315</v>
      </c>
      <c r="E142" t="s">
        <v>149</v>
      </c>
    </row>
    <row r="143" spans="1:5" x14ac:dyDescent="0.3">
      <c r="A143">
        <v>176</v>
      </c>
      <c r="B143">
        <v>105</v>
      </c>
      <c r="C143">
        <v>5000</v>
      </c>
      <c r="D143" s="1">
        <v>45481</v>
      </c>
      <c r="E143" t="s">
        <v>150</v>
      </c>
    </row>
    <row r="144" spans="1:5" x14ac:dyDescent="0.3">
      <c r="A144">
        <v>178</v>
      </c>
      <c r="B144">
        <v>65</v>
      </c>
      <c r="C144">
        <v>3000</v>
      </c>
      <c r="D144" s="1">
        <v>45420</v>
      </c>
      <c r="E144" t="s">
        <v>150</v>
      </c>
    </row>
    <row r="145" spans="1:5" x14ac:dyDescent="0.3">
      <c r="A145">
        <v>180</v>
      </c>
      <c r="B145">
        <v>122</v>
      </c>
      <c r="C145">
        <v>8000</v>
      </c>
      <c r="D145" s="1">
        <v>45366</v>
      </c>
      <c r="E145" t="s">
        <v>151</v>
      </c>
    </row>
    <row r="146" spans="1:5" x14ac:dyDescent="0.3">
      <c r="A146">
        <v>182</v>
      </c>
      <c r="B146">
        <v>78</v>
      </c>
      <c r="C146">
        <v>5000</v>
      </c>
      <c r="D146" s="1">
        <v>45507</v>
      </c>
      <c r="E146" t="s">
        <v>150</v>
      </c>
    </row>
    <row r="147" spans="1:5" x14ac:dyDescent="0.3">
      <c r="A147">
        <v>183</v>
      </c>
      <c r="B147">
        <v>21</v>
      </c>
      <c r="C147">
        <v>3000</v>
      </c>
      <c r="D147" s="1">
        <v>45627</v>
      </c>
      <c r="E147" t="s">
        <v>150</v>
      </c>
    </row>
    <row r="148" spans="1:5" x14ac:dyDescent="0.3">
      <c r="A148">
        <v>184</v>
      </c>
      <c r="B148">
        <v>110</v>
      </c>
      <c r="C148">
        <v>8000</v>
      </c>
      <c r="D148" s="1">
        <v>45527</v>
      </c>
      <c r="E148" t="s">
        <v>150</v>
      </c>
    </row>
    <row r="149" spans="1:5" x14ac:dyDescent="0.3">
      <c r="A149">
        <v>185</v>
      </c>
      <c r="B149">
        <v>98</v>
      </c>
      <c r="C149">
        <v>8000</v>
      </c>
      <c r="D149" s="1">
        <v>45456</v>
      </c>
      <c r="E149" t="s">
        <v>151</v>
      </c>
    </row>
    <row r="150" spans="1:5" x14ac:dyDescent="0.3">
      <c r="A150">
        <v>186</v>
      </c>
      <c r="B150">
        <v>134</v>
      </c>
      <c r="C150">
        <v>2000</v>
      </c>
      <c r="D150" s="1">
        <v>45456</v>
      </c>
      <c r="E150" t="s">
        <v>150</v>
      </c>
    </row>
    <row r="151" spans="1:5" x14ac:dyDescent="0.3">
      <c r="A151">
        <v>187</v>
      </c>
      <c r="B151">
        <v>49</v>
      </c>
      <c r="C151">
        <v>3000</v>
      </c>
      <c r="D151" s="1">
        <v>45371</v>
      </c>
      <c r="E151" t="s">
        <v>149</v>
      </c>
    </row>
    <row r="152" spans="1:5" x14ac:dyDescent="0.3">
      <c r="A152">
        <v>188</v>
      </c>
      <c r="B152">
        <v>75</v>
      </c>
      <c r="C152">
        <v>8000</v>
      </c>
      <c r="D152" s="1">
        <v>45671</v>
      </c>
      <c r="E152" t="s">
        <v>151</v>
      </c>
    </row>
    <row r="153" spans="1:5" x14ac:dyDescent="0.3">
      <c r="A153">
        <v>189</v>
      </c>
      <c r="B153">
        <v>82</v>
      </c>
      <c r="C153">
        <v>8000</v>
      </c>
      <c r="D153" s="1">
        <v>45305</v>
      </c>
      <c r="E153" t="s">
        <v>150</v>
      </c>
    </row>
    <row r="154" spans="1:5" x14ac:dyDescent="0.3">
      <c r="A154">
        <v>190</v>
      </c>
      <c r="B154">
        <v>114</v>
      </c>
      <c r="C154">
        <v>5000</v>
      </c>
      <c r="D154" s="1">
        <v>45513</v>
      </c>
      <c r="E154" t="s">
        <v>150</v>
      </c>
    </row>
    <row r="155" spans="1:5" x14ac:dyDescent="0.3">
      <c r="A155">
        <v>191</v>
      </c>
      <c r="B155">
        <v>74</v>
      </c>
      <c r="C155">
        <v>5000</v>
      </c>
      <c r="D155" s="1">
        <v>45482</v>
      </c>
      <c r="E155" t="s">
        <v>151</v>
      </c>
    </row>
    <row r="156" spans="1:5" x14ac:dyDescent="0.3">
      <c r="A156">
        <v>193</v>
      </c>
      <c r="B156">
        <v>72</v>
      </c>
      <c r="C156">
        <v>2000</v>
      </c>
      <c r="D156" s="1">
        <v>45527</v>
      </c>
      <c r="E156" t="s">
        <v>150</v>
      </c>
    </row>
    <row r="157" spans="1:5" x14ac:dyDescent="0.3">
      <c r="A157">
        <v>194</v>
      </c>
      <c r="B157">
        <v>114</v>
      </c>
      <c r="C157">
        <v>3000</v>
      </c>
      <c r="D157" s="1">
        <v>45345</v>
      </c>
      <c r="E157" t="s">
        <v>150</v>
      </c>
    </row>
    <row r="158" spans="1:5" x14ac:dyDescent="0.3">
      <c r="A158">
        <v>195</v>
      </c>
      <c r="B158">
        <v>35</v>
      </c>
      <c r="C158">
        <v>2000</v>
      </c>
      <c r="D158" s="1">
        <v>45530</v>
      </c>
      <c r="E158" t="s">
        <v>150</v>
      </c>
    </row>
    <row r="159" spans="1:5" x14ac:dyDescent="0.3">
      <c r="A159">
        <v>196</v>
      </c>
      <c r="B159">
        <v>89</v>
      </c>
      <c r="C159">
        <v>3000</v>
      </c>
      <c r="D159" s="1">
        <v>45379</v>
      </c>
      <c r="E159" t="s">
        <v>151</v>
      </c>
    </row>
    <row r="160" spans="1:5" x14ac:dyDescent="0.3">
      <c r="A160">
        <v>197</v>
      </c>
      <c r="B160">
        <v>71</v>
      </c>
      <c r="C160">
        <v>3000</v>
      </c>
      <c r="D160" s="1">
        <v>45323</v>
      </c>
      <c r="E160" t="s">
        <v>149</v>
      </c>
    </row>
    <row r="161" spans="1:5" x14ac:dyDescent="0.3">
      <c r="A161">
        <v>198</v>
      </c>
      <c r="B161">
        <v>18</v>
      </c>
      <c r="C161">
        <v>8000</v>
      </c>
      <c r="D161" s="1">
        <v>45478</v>
      </c>
      <c r="E161" t="s">
        <v>151</v>
      </c>
    </row>
    <row r="162" spans="1:5" x14ac:dyDescent="0.3">
      <c r="A162">
        <v>199</v>
      </c>
      <c r="B162">
        <v>99</v>
      </c>
      <c r="C162">
        <v>5000</v>
      </c>
      <c r="D162" s="1">
        <v>45458</v>
      </c>
      <c r="E162" t="s">
        <v>149</v>
      </c>
    </row>
    <row r="163" spans="1:5" x14ac:dyDescent="0.3">
      <c r="A163">
        <v>200</v>
      </c>
      <c r="B163">
        <v>18</v>
      </c>
      <c r="C163">
        <v>8000</v>
      </c>
      <c r="D163" s="1">
        <v>45364</v>
      </c>
      <c r="E163" t="s">
        <v>150</v>
      </c>
    </row>
    <row r="164" spans="1:5" x14ac:dyDescent="0.3">
      <c r="A164">
        <v>201</v>
      </c>
      <c r="B164">
        <v>140</v>
      </c>
      <c r="C164">
        <v>8000</v>
      </c>
      <c r="D164" s="1">
        <v>45531</v>
      </c>
      <c r="E164" t="s">
        <v>151</v>
      </c>
    </row>
    <row r="165" spans="1:5" x14ac:dyDescent="0.3">
      <c r="A165">
        <v>202</v>
      </c>
      <c r="B165">
        <v>30</v>
      </c>
      <c r="C165">
        <v>8000</v>
      </c>
      <c r="D165" s="1">
        <v>45664</v>
      </c>
      <c r="E165" t="s">
        <v>149</v>
      </c>
    </row>
    <row r="166" spans="1:5" x14ac:dyDescent="0.3">
      <c r="A166">
        <v>203</v>
      </c>
      <c r="B166">
        <v>98</v>
      </c>
      <c r="C166">
        <v>3000</v>
      </c>
      <c r="D166" s="1">
        <v>45339</v>
      </c>
      <c r="E166" t="s">
        <v>151</v>
      </c>
    </row>
    <row r="167" spans="1:5" x14ac:dyDescent="0.3">
      <c r="A167">
        <v>205</v>
      </c>
      <c r="B167">
        <v>85</v>
      </c>
      <c r="C167">
        <v>2000</v>
      </c>
      <c r="D167" s="1">
        <v>45343</v>
      </c>
      <c r="E167" t="s">
        <v>151</v>
      </c>
    </row>
    <row r="168" spans="1:5" x14ac:dyDescent="0.3">
      <c r="A168">
        <v>207</v>
      </c>
      <c r="B168">
        <v>35</v>
      </c>
      <c r="C168">
        <v>8000</v>
      </c>
      <c r="D168" s="1">
        <v>45495</v>
      </c>
      <c r="E168" t="s">
        <v>150</v>
      </c>
    </row>
    <row r="169" spans="1:5" x14ac:dyDescent="0.3">
      <c r="A169">
        <v>208</v>
      </c>
      <c r="B169">
        <v>37</v>
      </c>
      <c r="C169">
        <v>8000</v>
      </c>
      <c r="D169" s="1">
        <v>45346</v>
      </c>
      <c r="E169" t="s">
        <v>150</v>
      </c>
    </row>
    <row r="170" spans="1:5" x14ac:dyDescent="0.3">
      <c r="A170">
        <v>209</v>
      </c>
      <c r="B170">
        <v>10</v>
      </c>
      <c r="C170">
        <v>2000</v>
      </c>
      <c r="D170" s="1">
        <v>45377</v>
      </c>
      <c r="E170" t="s">
        <v>151</v>
      </c>
    </row>
    <row r="171" spans="1:5" x14ac:dyDescent="0.3">
      <c r="A171">
        <v>210</v>
      </c>
      <c r="B171">
        <v>5</v>
      </c>
      <c r="C171">
        <v>5000</v>
      </c>
      <c r="D171" s="1">
        <v>45374</v>
      </c>
      <c r="E171" t="s">
        <v>150</v>
      </c>
    </row>
    <row r="172" spans="1:5" x14ac:dyDescent="0.3">
      <c r="A172">
        <v>211</v>
      </c>
      <c r="B172">
        <v>8</v>
      </c>
      <c r="C172">
        <v>8000</v>
      </c>
      <c r="D172" s="1">
        <v>45639</v>
      </c>
      <c r="E172" t="s">
        <v>151</v>
      </c>
    </row>
    <row r="173" spans="1:5" x14ac:dyDescent="0.3">
      <c r="A173">
        <v>212</v>
      </c>
      <c r="B173">
        <v>100</v>
      </c>
      <c r="C173">
        <v>3000</v>
      </c>
      <c r="D173" s="1">
        <v>45550</v>
      </c>
      <c r="E173" t="s">
        <v>150</v>
      </c>
    </row>
    <row r="174" spans="1:5" x14ac:dyDescent="0.3">
      <c r="A174">
        <v>213</v>
      </c>
      <c r="B174">
        <v>36</v>
      </c>
      <c r="C174">
        <v>3000</v>
      </c>
      <c r="D174" s="1">
        <v>45363</v>
      </c>
      <c r="E174" t="s">
        <v>149</v>
      </c>
    </row>
    <row r="175" spans="1:5" x14ac:dyDescent="0.3">
      <c r="A175">
        <v>214</v>
      </c>
      <c r="B175">
        <v>51</v>
      </c>
      <c r="C175">
        <v>3000</v>
      </c>
      <c r="D175" s="1">
        <v>45593</v>
      </c>
      <c r="E175" t="s">
        <v>151</v>
      </c>
    </row>
    <row r="176" spans="1:5" x14ac:dyDescent="0.3">
      <c r="A176">
        <v>216</v>
      </c>
      <c r="B176">
        <v>98</v>
      </c>
      <c r="C176">
        <v>8000</v>
      </c>
      <c r="D176" s="1">
        <v>45507</v>
      </c>
      <c r="E176" t="s">
        <v>150</v>
      </c>
    </row>
    <row r="177" spans="1:5" x14ac:dyDescent="0.3">
      <c r="A177">
        <v>217</v>
      </c>
      <c r="B177">
        <v>132</v>
      </c>
      <c r="C177">
        <v>2000</v>
      </c>
      <c r="D177" s="1">
        <v>45457</v>
      </c>
      <c r="E177" t="s">
        <v>151</v>
      </c>
    </row>
    <row r="178" spans="1:5" x14ac:dyDescent="0.3">
      <c r="A178">
        <v>218</v>
      </c>
      <c r="B178">
        <v>141</v>
      </c>
      <c r="C178">
        <v>8000</v>
      </c>
      <c r="D178" s="1">
        <v>45558</v>
      </c>
      <c r="E178" t="s">
        <v>150</v>
      </c>
    </row>
    <row r="179" spans="1:5" x14ac:dyDescent="0.3">
      <c r="A179">
        <v>219</v>
      </c>
      <c r="B179">
        <v>24</v>
      </c>
      <c r="C179">
        <v>5000</v>
      </c>
      <c r="D179" s="1">
        <v>45669</v>
      </c>
      <c r="E179" t="s">
        <v>149</v>
      </c>
    </row>
    <row r="180" spans="1:5" x14ac:dyDescent="0.3">
      <c r="A180">
        <v>220</v>
      </c>
      <c r="B180">
        <v>130</v>
      </c>
      <c r="C180">
        <v>5000</v>
      </c>
      <c r="D180" s="1">
        <v>45478</v>
      </c>
      <c r="E180" t="s">
        <v>150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A388-C17E-4F51-AEE8-F6096C0D723B}">
  <dimension ref="A1:D523"/>
  <sheetViews>
    <sheetView workbookViewId="0"/>
  </sheetViews>
  <sheetFormatPr defaultRowHeight="14.4" x14ac:dyDescent="0.3"/>
  <cols>
    <col min="1" max="1" width="15.44140625" bestFit="1" customWidth="1"/>
    <col min="2" max="2" width="12.88671875" bestFit="1" customWidth="1"/>
    <col min="3" max="3" width="9.6640625" bestFit="1" customWidth="1"/>
    <col min="4" max="4" width="17.6640625" bestFit="1" customWidth="1"/>
  </cols>
  <sheetData>
    <row r="1" spans="1:4" x14ac:dyDescent="0.3">
      <c r="A1" t="s">
        <v>143</v>
      </c>
      <c r="B1" t="s">
        <v>0</v>
      </c>
      <c r="C1" t="s">
        <v>134</v>
      </c>
      <c r="D1" t="s">
        <v>144</v>
      </c>
    </row>
    <row r="2" spans="1:4" x14ac:dyDescent="0.3">
      <c r="A2">
        <v>1</v>
      </c>
      <c r="B2">
        <v>65</v>
      </c>
      <c r="C2">
        <v>12</v>
      </c>
      <c r="D2" s="1">
        <v>45365</v>
      </c>
    </row>
    <row r="3" spans="1:4" x14ac:dyDescent="0.3">
      <c r="A3">
        <v>2</v>
      </c>
      <c r="B3">
        <v>120</v>
      </c>
      <c r="C3">
        <v>1</v>
      </c>
      <c r="D3" s="1">
        <v>45488</v>
      </c>
    </row>
    <row r="4" spans="1:4" x14ac:dyDescent="0.3">
      <c r="A4">
        <v>3</v>
      </c>
      <c r="B4">
        <v>65</v>
      </c>
      <c r="C4">
        <v>8</v>
      </c>
      <c r="D4" s="1">
        <v>45368</v>
      </c>
    </row>
    <row r="5" spans="1:4" x14ac:dyDescent="0.3">
      <c r="A5">
        <v>4</v>
      </c>
      <c r="B5">
        <v>149</v>
      </c>
      <c r="C5">
        <v>18</v>
      </c>
      <c r="D5" s="1">
        <v>45392</v>
      </c>
    </row>
    <row r="6" spans="1:4" x14ac:dyDescent="0.3">
      <c r="A6">
        <v>5</v>
      </c>
      <c r="B6">
        <v>110</v>
      </c>
      <c r="C6">
        <v>8</v>
      </c>
      <c r="D6" s="1">
        <v>45608</v>
      </c>
    </row>
    <row r="7" spans="1:4" x14ac:dyDescent="0.3">
      <c r="A7">
        <v>6</v>
      </c>
      <c r="B7">
        <v>118</v>
      </c>
      <c r="C7">
        <v>13</v>
      </c>
      <c r="D7" s="1">
        <v>45587</v>
      </c>
    </row>
    <row r="8" spans="1:4" x14ac:dyDescent="0.3">
      <c r="A8">
        <v>7</v>
      </c>
      <c r="B8">
        <v>20</v>
      </c>
      <c r="C8">
        <v>5</v>
      </c>
      <c r="D8" s="1">
        <v>45656</v>
      </c>
    </row>
    <row r="9" spans="1:4" x14ac:dyDescent="0.3">
      <c r="A9">
        <v>8</v>
      </c>
      <c r="B9">
        <v>104</v>
      </c>
      <c r="C9">
        <v>13</v>
      </c>
      <c r="D9" s="1">
        <v>45633</v>
      </c>
    </row>
    <row r="10" spans="1:4" x14ac:dyDescent="0.3">
      <c r="A10">
        <v>9</v>
      </c>
      <c r="B10">
        <v>34</v>
      </c>
      <c r="C10">
        <v>18</v>
      </c>
      <c r="D10" s="1">
        <v>45505</v>
      </c>
    </row>
    <row r="11" spans="1:4" x14ac:dyDescent="0.3">
      <c r="A11">
        <v>10</v>
      </c>
      <c r="B11">
        <v>62</v>
      </c>
      <c r="C11">
        <v>13</v>
      </c>
      <c r="D11" s="1">
        <v>45571</v>
      </c>
    </row>
    <row r="12" spans="1:4" x14ac:dyDescent="0.3">
      <c r="A12">
        <v>11</v>
      </c>
      <c r="B12">
        <v>102</v>
      </c>
      <c r="C12">
        <v>12</v>
      </c>
      <c r="D12" s="1">
        <v>45363</v>
      </c>
    </row>
    <row r="13" spans="1:4" x14ac:dyDescent="0.3">
      <c r="A13">
        <v>12</v>
      </c>
      <c r="B13">
        <v>58</v>
      </c>
      <c r="C13">
        <v>10</v>
      </c>
      <c r="D13" s="1">
        <v>45675</v>
      </c>
    </row>
    <row r="14" spans="1:4" x14ac:dyDescent="0.3">
      <c r="A14">
        <v>15</v>
      </c>
      <c r="B14">
        <v>75</v>
      </c>
      <c r="C14">
        <v>20</v>
      </c>
      <c r="D14" s="1">
        <v>45653</v>
      </c>
    </row>
    <row r="15" spans="1:4" x14ac:dyDescent="0.3">
      <c r="A15">
        <v>16</v>
      </c>
      <c r="B15">
        <v>96</v>
      </c>
      <c r="C15">
        <v>15</v>
      </c>
      <c r="D15" s="1">
        <v>45595</v>
      </c>
    </row>
    <row r="16" spans="1:4" x14ac:dyDescent="0.3">
      <c r="A16">
        <v>17</v>
      </c>
      <c r="B16">
        <v>14</v>
      </c>
      <c r="C16">
        <v>11</v>
      </c>
      <c r="D16" s="1">
        <v>45422</v>
      </c>
    </row>
    <row r="17" spans="1:4" x14ac:dyDescent="0.3">
      <c r="A17">
        <v>18</v>
      </c>
      <c r="B17">
        <v>27</v>
      </c>
      <c r="C17">
        <v>4</v>
      </c>
      <c r="D17" s="1">
        <v>45373</v>
      </c>
    </row>
    <row r="18" spans="1:4" x14ac:dyDescent="0.3">
      <c r="A18">
        <v>19</v>
      </c>
      <c r="B18">
        <v>63</v>
      </c>
      <c r="C18">
        <v>7</v>
      </c>
      <c r="D18" s="1">
        <v>45514</v>
      </c>
    </row>
    <row r="19" spans="1:4" x14ac:dyDescent="0.3">
      <c r="A19">
        <v>20</v>
      </c>
      <c r="B19">
        <v>32</v>
      </c>
      <c r="C19">
        <v>7</v>
      </c>
      <c r="D19" s="1">
        <v>45550</v>
      </c>
    </row>
    <row r="20" spans="1:4" x14ac:dyDescent="0.3">
      <c r="A20">
        <v>21</v>
      </c>
      <c r="B20">
        <v>133</v>
      </c>
      <c r="C20">
        <v>5</v>
      </c>
      <c r="D20" s="1">
        <v>45488</v>
      </c>
    </row>
    <row r="21" spans="1:4" x14ac:dyDescent="0.3">
      <c r="A21">
        <v>22</v>
      </c>
      <c r="B21">
        <v>1</v>
      </c>
      <c r="C21">
        <v>4</v>
      </c>
      <c r="D21" s="1">
        <v>45658</v>
      </c>
    </row>
    <row r="22" spans="1:4" x14ac:dyDescent="0.3">
      <c r="A22">
        <v>24</v>
      </c>
      <c r="B22">
        <v>60</v>
      </c>
      <c r="C22">
        <v>9</v>
      </c>
      <c r="D22" s="1">
        <v>45631</v>
      </c>
    </row>
    <row r="23" spans="1:4" x14ac:dyDescent="0.3">
      <c r="A23">
        <v>25</v>
      </c>
      <c r="B23">
        <v>142</v>
      </c>
      <c r="C23">
        <v>17</v>
      </c>
      <c r="D23" s="1">
        <v>45311</v>
      </c>
    </row>
    <row r="24" spans="1:4" x14ac:dyDescent="0.3">
      <c r="A24">
        <v>26</v>
      </c>
      <c r="B24">
        <v>71</v>
      </c>
      <c r="C24">
        <v>14</v>
      </c>
      <c r="D24" s="1">
        <v>45411</v>
      </c>
    </row>
    <row r="25" spans="1:4" x14ac:dyDescent="0.3">
      <c r="A25">
        <v>27</v>
      </c>
      <c r="B25">
        <v>26</v>
      </c>
      <c r="C25">
        <v>5</v>
      </c>
      <c r="D25" s="1">
        <v>45496</v>
      </c>
    </row>
    <row r="26" spans="1:4" x14ac:dyDescent="0.3">
      <c r="A26">
        <v>28</v>
      </c>
      <c r="B26">
        <v>117</v>
      </c>
      <c r="C26">
        <v>2</v>
      </c>
      <c r="D26" s="1">
        <v>45387</v>
      </c>
    </row>
    <row r="27" spans="1:4" x14ac:dyDescent="0.3">
      <c r="A27">
        <v>29</v>
      </c>
      <c r="B27">
        <v>138</v>
      </c>
      <c r="C27">
        <v>11</v>
      </c>
      <c r="D27" s="1">
        <v>45542</v>
      </c>
    </row>
    <row r="28" spans="1:4" x14ac:dyDescent="0.3">
      <c r="A28">
        <v>30</v>
      </c>
      <c r="B28">
        <v>11</v>
      </c>
      <c r="C28">
        <v>14</v>
      </c>
      <c r="D28" s="1">
        <v>45416</v>
      </c>
    </row>
    <row r="29" spans="1:4" x14ac:dyDescent="0.3">
      <c r="A29">
        <v>31</v>
      </c>
      <c r="B29">
        <v>45</v>
      </c>
      <c r="C29">
        <v>20</v>
      </c>
      <c r="D29" s="1">
        <v>45518</v>
      </c>
    </row>
    <row r="30" spans="1:4" x14ac:dyDescent="0.3">
      <c r="A30">
        <v>32</v>
      </c>
      <c r="B30">
        <v>131</v>
      </c>
      <c r="C30">
        <v>13</v>
      </c>
      <c r="D30" s="1">
        <v>45549</v>
      </c>
    </row>
    <row r="31" spans="1:4" x14ac:dyDescent="0.3">
      <c r="A31">
        <v>33</v>
      </c>
      <c r="B31">
        <v>60</v>
      </c>
      <c r="C31">
        <v>12</v>
      </c>
      <c r="D31" s="1">
        <v>45559</v>
      </c>
    </row>
    <row r="32" spans="1:4" x14ac:dyDescent="0.3">
      <c r="A32">
        <v>34</v>
      </c>
      <c r="B32">
        <v>17</v>
      </c>
      <c r="C32">
        <v>11</v>
      </c>
      <c r="D32" s="1">
        <v>45629</v>
      </c>
    </row>
    <row r="33" spans="1:4" x14ac:dyDescent="0.3">
      <c r="A33">
        <v>35</v>
      </c>
      <c r="B33">
        <v>46</v>
      </c>
      <c r="C33">
        <v>5</v>
      </c>
      <c r="D33" s="1">
        <v>45318</v>
      </c>
    </row>
    <row r="34" spans="1:4" x14ac:dyDescent="0.3">
      <c r="A34">
        <v>36</v>
      </c>
      <c r="B34">
        <v>150</v>
      </c>
      <c r="C34">
        <v>17</v>
      </c>
      <c r="D34" s="1">
        <v>45438</v>
      </c>
    </row>
    <row r="35" spans="1:4" x14ac:dyDescent="0.3">
      <c r="A35">
        <v>38</v>
      </c>
      <c r="B35">
        <v>132</v>
      </c>
      <c r="C35">
        <v>19</v>
      </c>
      <c r="D35" s="1">
        <v>45339</v>
      </c>
    </row>
    <row r="36" spans="1:4" x14ac:dyDescent="0.3">
      <c r="A36">
        <v>39</v>
      </c>
      <c r="B36">
        <v>69</v>
      </c>
      <c r="C36">
        <v>12</v>
      </c>
      <c r="D36" s="1">
        <v>45622</v>
      </c>
    </row>
    <row r="37" spans="1:4" x14ac:dyDescent="0.3">
      <c r="A37">
        <v>40</v>
      </c>
      <c r="B37">
        <v>13</v>
      </c>
      <c r="C37">
        <v>18</v>
      </c>
      <c r="D37" s="1">
        <v>45532</v>
      </c>
    </row>
    <row r="38" spans="1:4" x14ac:dyDescent="0.3">
      <c r="A38">
        <v>41</v>
      </c>
      <c r="B38">
        <v>78</v>
      </c>
      <c r="C38">
        <v>19</v>
      </c>
      <c r="D38" s="1"/>
    </row>
    <row r="39" spans="1:4" x14ac:dyDescent="0.3">
      <c r="A39">
        <v>42</v>
      </c>
      <c r="B39">
        <v>39</v>
      </c>
      <c r="C39">
        <v>20</v>
      </c>
      <c r="D39" s="1">
        <v>45675</v>
      </c>
    </row>
    <row r="40" spans="1:4" x14ac:dyDescent="0.3">
      <c r="A40">
        <v>43</v>
      </c>
      <c r="B40">
        <v>72</v>
      </c>
      <c r="C40">
        <v>3</v>
      </c>
      <c r="D40" s="1">
        <v>45593</v>
      </c>
    </row>
    <row r="41" spans="1:4" x14ac:dyDescent="0.3">
      <c r="A41">
        <v>44</v>
      </c>
      <c r="B41">
        <v>93</v>
      </c>
      <c r="C41">
        <v>14</v>
      </c>
      <c r="D41" s="1">
        <v>45602</v>
      </c>
    </row>
    <row r="42" spans="1:4" x14ac:dyDescent="0.3">
      <c r="A42">
        <v>45</v>
      </c>
      <c r="B42">
        <v>7</v>
      </c>
      <c r="C42">
        <v>19</v>
      </c>
      <c r="D42" s="1">
        <v>45492</v>
      </c>
    </row>
    <row r="43" spans="1:4" x14ac:dyDescent="0.3">
      <c r="A43">
        <v>46</v>
      </c>
      <c r="B43">
        <v>147</v>
      </c>
      <c r="C43">
        <v>17</v>
      </c>
      <c r="D43" s="1">
        <v>45589</v>
      </c>
    </row>
    <row r="44" spans="1:4" x14ac:dyDescent="0.3">
      <c r="A44">
        <v>48</v>
      </c>
      <c r="B44">
        <v>9</v>
      </c>
      <c r="C44">
        <v>12</v>
      </c>
      <c r="D44" s="1">
        <v>45480</v>
      </c>
    </row>
    <row r="45" spans="1:4" x14ac:dyDescent="0.3">
      <c r="A45">
        <v>49</v>
      </c>
      <c r="B45">
        <v>22</v>
      </c>
      <c r="C45">
        <v>18</v>
      </c>
      <c r="D45" s="1">
        <v>45590</v>
      </c>
    </row>
    <row r="46" spans="1:4" x14ac:dyDescent="0.3">
      <c r="A46">
        <v>50</v>
      </c>
      <c r="B46">
        <v>140</v>
      </c>
      <c r="C46">
        <v>1</v>
      </c>
      <c r="D46" s="1">
        <v>45520</v>
      </c>
    </row>
    <row r="47" spans="1:4" x14ac:dyDescent="0.3">
      <c r="A47">
        <v>51</v>
      </c>
      <c r="B47">
        <v>93</v>
      </c>
      <c r="C47">
        <v>7</v>
      </c>
      <c r="D47" s="1">
        <v>45374</v>
      </c>
    </row>
    <row r="48" spans="1:4" x14ac:dyDescent="0.3">
      <c r="A48">
        <v>53</v>
      </c>
      <c r="B48">
        <v>131</v>
      </c>
      <c r="C48">
        <v>14</v>
      </c>
      <c r="D48" s="1">
        <v>45347</v>
      </c>
    </row>
    <row r="49" spans="1:4" x14ac:dyDescent="0.3">
      <c r="A49">
        <v>55</v>
      </c>
      <c r="B49">
        <v>17</v>
      </c>
      <c r="C49">
        <v>8</v>
      </c>
      <c r="D49" s="1">
        <v>45480</v>
      </c>
    </row>
    <row r="50" spans="1:4" x14ac:dyDescent="0.3">
      <c r="A50">
        <v>56</v>
      </c>
      <c r="B50">
        <v>102</v>
      </c>
      <c r="C50">
        <v>18</v>
      </c>
      <c r="D50" s="1">
        <v>45427</v>
      </c>
    </row>
    <row r="51" spans="1:4" x14ac:dyDescent="0.3">
      <c r="A51">
        <v>57</v>
      </c>
      <c r="B51">
        <v>22</v>
      </c>
      <c r="C51">
        <v>3</v>
      </c>
      <c r="D51" s="1">
        <v>45437</v>
      </c>
    </row>
    <row r="52" spans="1:4" x14ac:dyDescent="0.3">
      <c r="A52">
        <v>58</v>
      </c>
      <c r="B52">
        <v>69</v>
      </c>
      <c r="C52">
        <v>14</v>
      </c>
      <c r="D52" s="1">
        <v>45654</v>
      </c>
    </row>
    <row r="53" spans="1:4" x14ac:dyDescent="0.3">
      <c r="A53">
        <v>59</v>
      </c>
      <c r="B53">
        <v>142</v>
      </c>
      <c r="C53">
        <v>9</v>
      </c>
      <c r="D53" s="1">
        <v>45334</v>
      </c>
    </row>
    <row r="54" spans="1:4" x14ac:dyDescent="0.3">
      <c r="A54">
        <v>60</v>
      </c>
      <c r="B54">
        <v>71</v>
      </c>
      <c r="C54">
        <v>16</v>
      </c>
      <c r="D54" s="1">
        <v>45412</v>
      </c>
    </row>
    <row r="55" spans="1:4" x14ac:dyDescent="0.3">
      <c r="A55">
        <v>61</v>
      </c>
      <c r="B55">
        <v>78</v>
      </c>
      <c r="C55">
        <v>7</v>
      </c>
      <c r="D55" s="1">
        <v>45316</v>
      </c>
    </row>
    <row r="56" spans="1:4" x14ac:dyDescent="0.3">
      <c r="A56">
        <v>63</v>
      </c>
      <c r="B56">
        <v>35</v>
      </c>
      <c r="C56">
        <v>2</v>
      </c>
      <c r="D56" s="1">
        <v>45443</v>
      </c>
    </row>
    <row r="57" spans="1:4" x14ac:dyDescent="0.3">
      <c r="A57">
        <v>64</v>
      </c>
      <c r="B57">
        <v>10</v>
      </c>
      <c r="C57">
        <v>1</v>
      </c>
      <c r="D57" s="1">
        <v>45518</v>
      </c>
    </row>
    <row r="58" spans="1:4" x14ac:dyDescent="0.3">
      <c r="A58">
        <v>65</v>
      </c>
      <c r="B58">
        <v>42</v>
      </c>
      <c r="C58">
        <v>18</v>
      </c>
      <c r="D58" s="1">
        <v>45453</v>
      </c>
    </row>
    <row r="59" spans="1:4" x14ac:dyDescent="0.3">
      <c r="A59">
        <v>67</v>
      </c>
      <c r="B59">
        <v>51</v>
      </c>
      <c r="C59">
        <v>8</v>
      </c>
      <c r="D59" s="1">
        <v>45386</v>
      </c>
    </row>
    <row r="60" spans="1:4" x14ac:dyDescent="0.3">
      <c r="A60">
        <v>68</v>
      </c>
      <c r="B60">
        <v>130</v>
      </c>
      <c r="C60">
        <v>4</v>
      </c>
      <c r="D60" s="1">
        <v>45350</v>
      </c>
    </row>
    <row r="61" spans="1:4" x14ac:dyDescent="0.3">
      <c r="A61">
        <v>69</v>
      </c>
      <c r="B61">
        <v>51</v>
      </c>
      <c r="C61">
        <v>2</v>
      </c>
      <c r="D61" s="1">
        <v>45661</v>
      </c>
    </row>
    <row r="62" spans="1:4" x14ac:dyDescent="0.3">
      <c r="A62">
        <v>71</v>
      </c>
      <c r="B62">
        <v>3</v>
      </c>
      <c r="C62">
        <v>1</v>
      </c>
      <c r="D62" s="1">
        <v>45662</v>
      </c>
    </row>
    <row r="63" spans="1:4" x14ac:dyDescent="0.3">
      <c r="A63">
        <v>72</v>
      </c>
      <c r="B63">
        <v>65</v>
      </c>
      <c r="C63">
        <v>18</v>
      </c>
      <c r="D63" s="1">
        <v>45542</v>
      </c>
    </row>
    <row r="64" spans="1:4" x14ac:dyDescent="0.3">
      <c r="A64">
        <v>73</v>
      </c>
      <c r="B64">
        <v>22</v>
      </c>
      <c r="C64">
        <v>17</v>
      </c>
      <c r="D64" s="1"/>
    </row>
    <row r="65" spans="1:4" x14ac:dyDescent="0.3">
      <c r="A65">
        <v>75</v>
      </c>
      <c r="B65">
        <v>63</v>
      </c>
      <c r="C65">
        <v>16</v>
      </c>
      <c r="D65" s="1">
        <v>45399</v>
      </c>
    </row>
    <row r="66" spans="1:4" x14ac:dyDescent="0.3">
      <c r="A66">
        <v>76</v>
      </c>
      <c r="B66">
        <v>101</v>
      </c>
      <c r="C66">
        <v>3</v>
      </c>
      <c r="D66" s="1">
        <v>45551</v>
      </c>
    </row>
    <row r="67" spans="1:4" x14ac:dyDescent="0.3">
      <c r="A67">
        <v>77</v>
      </c>
      <c r="B67">
        <v>49</v>
      </c>
      <c r="C67">
        <v>20</v>
      </c>
      <c r="D67" s="1">
        <v>45391</v>
      </c>
    </row>
    <row r="68" spans="1:4" x14ac:dyDescent="0.3">
      <c r="A68">
        <v>78</v>
      </c>
      <c r="B68">
        <v>149</v>
      </c>
      <c r="C68">
        <v>14</v>
      </c>
      <c r="D68" s="1">
        <v>45444</v>
      </c>
    </row>
    <row r="69" spans="1:4" x14ac:dyDescent="0.3">
      <c r="A69">
        <v>79</v>
      </c>
      <c r="B69">
        <v>6</v>
      </c>
      <c r="C69">
        <v>16</v>
      </c>
      <c r="D69" s="1">
        <v>45606</v>
      </c>
    </row>
    <row r="70" spans="1:4" x14ac:dyDescent="0.3">
      <c r="A70">
        <v>80</v>
      </c>
      <c r="B70">
        <v>148</v>
      </c>
      <c r="C70">
        <v>20</v>
      </c>
      <c r="D70" s="1">
        <v>45302</v>
      </c>
    </row>
    <row r="71" spans="1:4" x14ac:dyDescent="0.3">
      <c r="A71">
        <v>81</v>
      </c>
      <c r="B71">
        <v>150</v>
      </c>
      <c r="C71">
        <v>11</v>
      </c>
      <c r="D71" s="1">
        <v>45513</v>
      </c>
    </row>
    <row r="72" spans="1:4" x14ac:dyDescent="0.3">
      <c r="A72">
        <v>82</v>
      </c>
      <c r="B72">
        <v>108</v>
      </c>
      <c r="C72">
        <v>7</v>
      </c>
      <c r="D72" s="1">
        <v>45465</v>
      </c>
    </row>
    <row r="73" spans="1:4" x14ac:dyDescent="0.3">
      <c r="A73">
        <v>84</v>
      </c>
      <c r="B73">
        <v>129</v>
      </c>
      <c r="C73">
        <v>16</v>
      </c>
      <c r="D73" s="1">
        <v>45580</v>
      </c>
    </row>
    <row r="74" spans="1:4" x14ac:dyDescent="0.3">
      <c r="A74">
        <v>85</v>
      </c>
      <c r="B74">
        <v>148</v>
      </c>
      <c r="C74">
        <v>15</v>
      </c>
      <c r="D74" s="1">
        <v>45599</v>
      </c>
    </row>
    <row r="75" spans="1:4" x14ac:dyDescent="0.3">
      <c r="A75">
        <v>86</v>
      </c>
      <c r="B75">
        <v>69</v>
      </c>
      <c r="C75">
        <v>17</v>
      </c>
      <c r="D75" s="1">
        <v>45601</v>
      </c>
    </row>
    <row r="76" spans="1:4" x14ac:dyDescent="0.3">
      <c r="A76">
        <v>87</v>
      </c>
      <c r="B76">
        <v>102</v>
      </c>
      <c r="C76">
        <v>20</v>
      </c>
      <c r="D76" s="1">
        <v>45446</v>
      </c>
    </row>
    <row r="77" spans="1:4" x14ac:dyDescent="0.3">
      <c r="A77">
        <v>88</v>
      </c>
      <c r="B77">
        <v>80</v>
      </c>
      <c r="C77">
        <v>1</v>
      </c>
      <c r="D77" s="1">
        <v>45568</v>
      </c>
    </row>
    <row r="78" spans="1:4" x14ac:dyDescent="0.3">
      <c r="A78">
        <v>89</v>
      </c>
      <c r="B78">
        <v>118</v>
      </c>
      <c r="C78">
        <v>15</v>
      </c>
      <c r="D78" s="1">
        <v>45601</v>
      </c>
    </row>
    <row r="79" spans="1:4" x14ac:dyDescent="0.3">
      <c r="A79">
        <v>90</v>
      </c>
      <c r="B79">
        <v>114</v>
      </c>
      <c r="C79">
        <v>7</v>
      </c>
      <c r="D79" s="1">
        <v>45474</v>
      </c>
    </row>
    <row r="80" spans="1:4" x14ac:dyDescent="0.3">
      <c r="A80">
        <v>92</v>
      </c>
      <c r="B80">
        <v>14</v>
      </c>
      <c r="C80">
        <v>4</v>
      </c>
      <c r="D80" s="1">
        <v>45488</v>
      </c>
    </row>
    <row r="81" spans="1:4" x14ac:dyDescent="0.3">
      <c r="A81">
        <v>93</v>
      </c>
      <c r="B81">
        <v>3</v>
      </c>
      <c r="C81">
        <v>9</v>
      </c>
      <c r="D81" s="1">
        <v>45474</v>
      </c>
    </row>
    <row r="82" spans="1:4" x14ac:dyDescent="0.3">
      <c r="A82">
        <v>94</v>
      </c>
      <c r="B82">
        <v>14</v>
      </c>
      <c r="C82">
        <v>10</v>
      </c>
      <c r="D82" s="1">
        <v>45676</v>
      </c>
    </row>
    <row r="83" spans="1:4" x14ac:dyDescent="0.3">
      <c r="A83">
        <v>95</v>
      </c>
      <c r="B83">
        <v>87</v>
      </c>
      <c r="C83">
        <v>10</v>
      </c>
      <c r="D83" s="1"/>
    </row>
    <row r="84" spans="1:4" x14ac:dyDescent="0.3">
      <c r="A84">
        <v>96</v>
      </c>
      <c r="B84">
        <v>13</v>
      </c>
      <c r="C84">
        <v>7</v>
      </c>
      <c r="D84" s="1">
        <v>45593</v>
      </c>
    </row>
    <row r="85" spans="1:4" x14ac:dyDescent="0.3">
      <c r="A85">
        <v>98</v>
      </c>
      <c r="B85">
        <v>76</v>
      </c>
      <c r="C85">
        <v>14</v>
      </c>
      <c r="D85" s="1">
        <v>45357</v>
      </c>
    </row>
    <row r="86" spans="1:4" x14ac:dyDescent="0.3">
      <c r="A86">
        <v>99</v>
      </c>
      <c r="B86">
        <v>7</v>
      </c>
      <c r="C86">
        <v>6</v>
      </c>
      <c r="D86" s="1">
        <v>45603</v>
      </c>
    </row>
    <row r="87" spans="1:4" x14ac:dyDescent="0.3">
      <c r="A87">
        <v>100</v>
      </c>
      <c r="B87">
        <v>130</v>
      </c>
      <c r="C87">
        <v>19</v>
      </c>
      <c r="D87" s="1">
        <v>45678</v>
      </c>
    </row>
    <row r="88" spans="1:4" x14ac:dyDescent="0.3">
      <c r="A88">
        <v>101</v>
      </c>
      <c r="B88">
        <v>76</v>
      </c>
      <c r="C88">
        <v>13</v>
      </c>
      <c r="D88" s="1">
        <v>45620</v>
      </c>
    </row>
    <row r="89" spans="1:4" x14ac:dyDescent="0.3">
      <c r="A89">
        <v>102</v>
      </c>
      <c r="B89">
        <v>119</v>
      </c>
      <c r="C89">
        <v>3</v>
      </c>
      <c r="D89" s="1">
        <v>45507</v>
      </c>
    </row>
    <row r="90" spans="1:4" x14ac:dyDescent="0.3">
      <c r="A90">
        <v>103</v>
      </c>
      <c r="B90">
        <v>60</v>
      </c>
      <c r="C90">
        <v>20</v>
      </c>
      <c r="D90" s="1">
        <v>45393</v>
      </c>
    </row>
    <row r="91" spans="1:4" x14ac:dyDescent="0.3">
      <c r="A91">
        <v>104</v>
      </c>
      <c r="B91">
        <v>58</v>
      </c>
      <c r="C91">
        <v>8</v>
      </c>
      <c r="D91" s="1">
        <v>45313</v>
      </c>
    </row>
    <row r="92" spans="1:4" x14ac:dyDescent="0.3">
      <c r="A92">
        <v>105</v>
      </c>
      <c r="B92">
        <v>54</v>
      </c>
      <c r="C92">
        <v>20</v>
      </c>
      <c r="D92" s="1">
        <v>45657</v>
      </c>
    </row>
    <row r="93" spans="1:4" x14ac:dyDescent="0.3">
      <c r="A93">
        <v>107</v>
      </c>
      <c r="B93">
        <v>79</v>
      </c>
      <c r="C93">
        <v>15</v>
      </c>
      <c r="D93" s="1">
        <v>45292</v>
      </c>
    </row>
    <row r="94" spans="1:4" x14ac:dyDescent="0.3">
      <c r="A94">
        <v>109</v>
      </c>
      <c r="B94">
        <v>88</v>
      </c>
      <c r="C94">
        <v>17</v>
      </c>
      <c r="D94" s="1">
        <v>45481</v>
      </c>
    </row>
    <row r="95" spans="1:4" x14ac:dyDescent="0.3">
      <c r="A95">
        <v>110</v>
      </c>
      <c r="B95">
        <v>29</v>
      </c>
      <c r="C95">
        <v>19</v>
      </c>
      <c r="D95" s="1">
        <v>45542</v>
      </c>
    </row>
    <row r="96" spans="1:4" x14ac:dyDescent="0.3">
      <c r="A96">
        <v>111</v>
      </c>
      <c r="B96">
        <v>141</v>
      </c>
      <c r="C96">
        <v>9</v>
      </c>
      <c r="D96" s="1">
        <v>45622</v>
      </c>
    </row>
    <row r="97" spans="1:4" x14ac:dyDescent="0.3">
      <c r="A97">
        <v>112</v>
      </c>
      <c r="B97">
        <v>80</v>
      </c>
      <c r="C97">
        <v>3</v>
      </c>
      <c r="D97" s="1"/>
    </row>
    <row r="98" spans="1:4" x14ac:dyDescent="0.3">
      <c r="A98">
        <v>113</v>
      </c>
      <c r="B98">
        <v>129</v>
      </c>
      <c r="C98">
        <v>8</v>
      </c>
      <c r="D98" s="1">
        <v>45619</v>
      </c>
    </row>
    <row r="99" spans="1:4" x14ac:dyDescent="0.3">
      <c r="A99">
        <v>115</v>
      </c>
      <c r="B99">
        <v>14</v>
      </c>
      <c r="C99">
        <v>4</v>
      </c>
      <c r="D99" s="1">
        <v>45482</v>
      </c>
    </row>
    <row r="100" spans="1:4" x14ac:dyDescent="0.3">
      <c r="A100">
        <v>116</v>
      </c>
      <c r="B100">
        <v>131</v>
      </c>
      <c r="C100">
        <v>6</v>
      </c>
      <c r="D100" s="1">
        <v>45597</v>
      </c>
    </row>
    <row r="101" spans="1:4" x14ac:dyDescent="0.3">
      <c r="A101">
        <v>117</v>
      </c>
      <c r="B101">
        <v>13</v>
      </c>
      <c r="C101">
        <v>3</v>
      </c>
      <c r="D101" s="1">
        <v>45358</v>
      </c>
    </row>
    <row r="102" spans="1:4" x14ac:dyDescent="0.3">
      <c r="A102">
        <v>118</v>
      </c>
      <c r="B102">
        <v>16</v>
      </c>
      <c r="C102">
        <v>14</v>
      </c>
      <c r="D102" s="1"/>
    </row>
    <row r="103" spans="1:4" x14ac:dyDescent="0.3">
      <c r="A103">
        <v>119</v>
      </c>
      <c r="B103">
        <v>6</v>
      </c>
      <c r="C103">
        <v>3</v>
      </c>
      <c r="D103" s="1">
        <v>45666</v>
      </c>
    </row>
    <row r="104" spans="1:4" x14ac:dyDescent="0.3">
      <c r="A104">
        <v>120</v>
      </c>
      <c r="B104">
        <v>138</v>
      </c>
      <c r="C104">
        <v>11</v>
      </c>
      <c r="D104" s="1"/>
    </row>
    <row r="105" spans="1:4" x14ac:dyDescent="0.3">
      <c r="A105">
        <v>121</v>
      </c>
      <c r="B105">
        <v>3</v>
      </c>
      <c r="C105">
        <v>18</v>
      </c>
      <c r="D105" s="1">
        <v>45462</v>
      </c>
    </row>
    <row r="106" spans="1:4" x14ac:dyDescent="0.3">
      <c r="A106">
        <v>122</v>
      </c>
      <c r="B106">
        <v>69</v>
      </c>
      <c r="C106">
        <v>10</v>
      </c>
      <c r="D106" s="1">
        <v>45400</v>
      </c>
    </row>
    <row r="107" spans="1:4" x14ac:dyDescent="0.3">
      <c r="A107">
        <v>123</v>
      </c>
      <c r="B107">
        <v>65</v>
      </c>
      <c r="C107">
        <v>8</v>
      </c>
      <c r="D107" s="1">
        <v>45589</v>
      </c>
    </row>
    <row r="108" spans="1:4" x14ac:dyDescent="0.3">
      <c r="A108">
        <v>124</v>
      </c>
      <c r="B108">
        <v>16</v>
      </c>
      <c r="C108">
        <v>8</v>
      </c>
      <c r="D108" s="1">
        <v>45385</v>
      </c>
    </row>
    <row r="109" spans="1:4" x14ac:dyDescent="0.3">
      <c r="A109">
        <v>125</v>
      </c>
      <c r="B109">
        <v>10</v>
      </c>
      <c r="C109">
        <v>11</v>
      </c>
      <c r="D109" s="1">
        <v>45576</v>
      </c>
    </row>
    <row r="110" spans="1:4" x14ac:dyDescent="0.3">
      <c r="A110">
        <v>126</v>
      </c>
      <c r="B110">
        <v>5</v>
      </c>
      <c r="C110">
        <v>19</v>
      </c>
      <c r="D110" s="1">
        <v>45459</v>
      </c>
    </row>
    <row r="111" spans="1:4" x14ac:dyDescent="0.3">
      <c r="A111">
        <v>127</v>
      </c>
      <c r="B111">
        <v>24</v>
      </c>
      <c r="C111">
        <v>6</v>
      </c>
      <c r="D111" s="1">
        <v>45386</v>
      </c>
    </row>
    <row r="112" spans="1:4" x14ac:dyDescent="0.3">
      <c r="A112">
        <v>128</v>
      </c>
      <c r="B112">
        <v>78</v>
      </c>
      <c r="C112">
        <v>4</v>
      </c>
      <c r="D112" s="1">
        <v>45403</v>
      </c>
    </row>
    <row r="113" spans="1:4" x14ac:dyDescent="0.3">
      <c r="A113">
        <v>130</v>
      </c>
      <c r="B113">
        <v>12</v>
      </c>
      <c r="C113">
        <v>10</v>
      </c>
      <c r="D113" s="1">
        <v>45518</v>
      </c>
    </row>
    <row r="114" spans="1:4" x14ac:dyDescent="0.3">
      <c r="A114">
        <v>131</v>
      </c>
      <c r="B114">
        <v>23</v>
      </c>
      <c r="C114">
        <v>15</v>
      </c>
      <c r="D114" s="1">
        <v>45468</v>
      </c>
    </row>
    <row r="115" spans="1:4" x14ac:dyDescent="0.3">
      <c r="A115">
        <v>133</v>
      </c>
      <c r="B115">
        <v>30</v>
      </c>
      <c r="C115">
        <v>3</v>
      </c>
      <c r="D115" s="1">
        <v>45321</v>
      </c>
    </row>
    <row r="116" spans="1:4" x14ac:dyDescent="0.3">
      <c r="A116">
        <v>134</v>
      </c>
      <c r="B116">
        <v>74</v>
      </c>
      <c r="C116">
        <v>9</v>
      </c>
      <c r="D116" s="1">
        <v>45672</v>
      </c>
    </row>
    <row r="117" spans="1:4" x14ac:dyDescent="0.3">
      <c r="A117">
        <v>135</v>
      </c>
      <c r="B117">
        <v>64</v>
      </c>
      <c r="C117">
        <v>2</v>
      </c>
      <c r="D117" s="1">
        <v>45561</v>
      </c>
    </row>
    <row r="118" spans="1:4" x14ac:dyDescent="0.3">
      <c r="A118">
        <v>136</v>
      </c>
      <c r="B118">
        <v>50</v>
      </c>
      <c r="C118">
        <v>11</v>
      </c>
      <c r="D118" s="1">
        <v>45662</v>
      </c>
    </row>
    <row r="119" spans="1:4" x14ac:dyDescent="0.3">
      <c r="A119">
        <v>137</v>
      </c>
      <c r="B119">
        <v>98</v>
      </c>
      <c r="C119">
        <v>13</v>
      </c>
      <c r="D119" s="1">
        <v>45471</v>
      </c>
    </row>
    <row r="120" spans="1:4" x14ac:dyDescent="0.3">
      <c r="A120">
        <v>138</v>
      </c>
      <c r="B120">
        <v>63</v>
      </c>
      <c r="C120">
        <v>16</v>
      </c>
      <c r="D120" s="1">
        <v>45337</v>
      </c>
    </row>
    <row r="121" spans="1:4" x14ac:dyDescent="0.3">
      <c r="A121">
        <v>139</v>
      </c>
      <c r="B121">
        <v>30</v>
      </c>
      <c r="C121">
        <v>8</v>
      </c>
      <c r="D121" s="1">
        <v>45467</v>
      </c>
    </row>
    <row r="122" spans="1:4" x14ac:dyDescent="0.3">
      <c r="A122">
        <v>140</v>
      </c>
      <c r="B122">
        <v>112</v>
      </c>
      <c r="C122">
        <v>9</v>
      </c>
      <c r="D122" s="1">
        <v>45329</v>
      </c>
    </row>
    <row r="123" spans="1:4" x14ac:dyDescent="0.3">
      <c r="A123">
        <v>142</v>
      </c>
      <c r="B123">
        <v>91</v>
      </c>
      <c r="C123">
        <v>11</v>
      </c>
      <c r="D123" s="1">
        <v>45501</v>
      </c>
    </row>
    <row r="124" spans="1:4" x14ac:dyDescent="0.3">
      <c r="A124">
        <v>143</v>
      </c>
      <c r="B124">
        <v>131</v>
      </c>
      <c r="C124">
        <v>1</v>
      </c>
      <c r="D124" s="1">
        <v>45494</v>
      </c>
    </row>
    <row r="125" spans="1:4" x14ac:dyDescent="0.3">
      <c r="A125">
        <v>144</v>
      </c>
      <c r="B125">
        <v>44</v>
      </c>
      <c r="C125">
        <v>10</v>
      </c>
      <c r="D125" s="1">
        <v>45481</v>
      </c>
    </row>
    <row r="126" spans="1:4" x14ac:dyDescent="0.3">
      <c r="A126">
        <v>145</v>
      </c>
      <c r="B126">
        <v>141</v>
      </c>
      <c r="C126">
        <v>5</v>
      </c>
      <c r="D126" s="1">
        <v>45582</v>
      </c>
    </row>
    <row r="127" spans="1:4" x14ac:dyDescent="0.3">
      <c r="A127">
        <v>146</v>
      </c>
      <c r="B127">
        <v>39</v>
      </c>
      <c r="C127">
        <v>5</v>
      </c>
      <c r="D127" s="1">
        <v>45377</v>
      </c>
    </row>
    <row r="128" spans="1:4" x14ac:dyDescent="0.3">
      <c r="A128">
        <v>147</v>
      </c>
      <c r="B128">
        <v>65</v>
      </c>
      <c r="C128">
        <v>8</v>
      </c>
      <c r="D128" s="1">
        <v>45374</v>
      </c>
    </row>
    <row r="129" spans="1:4" x14ac:dyDescent="0.3">
      <c r="A129">
        <v>148</v>
      </c>
      <c r="B129">
        <v>44</v>
      </c>
      <c r="C129">
        <v>9</v>
      </c>
      <c r="D129" s="1">
        <v>45474</v>
      </c>
    </row>
    <row r="130" spans="1:4" x14ac:dyDescent="0.3">
      <c r="A130">
        <v>149</v>
      </c>
      <c r="B130">
        <v>110</v>
      </c>
      <c r="C130">
        <v>5</v>
      </c>
      <c r="D130" s="1">
        <v>45534</v>
      </c>
    </row>
    <row r="131" spans="1:4" x14ac:dyDescent="0.3">
      <c r="A131">
        <v>151</v>
      </c>
      <c r="B131">
        <v>18</v>
      </c>
      <c r="C131">
        <v>6</v>
      </c>
      <c r="D131" s="1">
        <v>45371</v>
      </c>
    </row>
    <row r="132" spans="1:4" x14ac:dyDescent="0.3">
      <c r="A132">
        <v>152</v>
      </c>
      <c r="B132">
        <v>12</v>
      </c>
      <c r="C132">
        <v>7</v>
      </c>
      <c r="D132" s="1">
        <v>45537</v>
      </c>
    </row>
    <row r="133" spans="1:4" x14ac:dyDescent="0.3">
      <c r="A133">
        <v>153</v>
      </c>
      <c r="B133">
        <v>94</v>
      </c>
      <c r="C133">
        <v>17</v>
      </c>
      <c r="D133" s="1">
        <v>45624</v>
      </c>
    </row>
    <row r="134" spans="1:4" x14ac:dyDescent="0.3">
      <c r="A134">
        <v>154</v>
      </c>
      <c r="B134">
        <v>129</v>
      </c>
      <c r="C134">
        <v>12</v>
      </c>
      <c r="D134" s="1">
        <v>45473</v>
      </c>
    </row>
    <row r="135" spans="1:4" x14ac:dyDescent="0.3">
      <c r="A135">
        <v>156</v>
      </c>
      <c r="B135">
        <v>54</v>
      </c>
      <c r="C135">
        <v>2</v>
      </c>
      <c r="D135" s="1">
        <v>45308</v>
      </c>
    </row>
    <row r="136" spans="1:4" x14ac:dyDescent="0.3">
      <c r="A136">
        <v>157</v>
      </c>
      <c r="B136">
        <v>78</v>
      </c>
      <c r="C136">
        <v>11</v>
      </c>
      <c r="D136" s="1">
        <v>45418</v>
      </c>
    </row>
    <row r="137" spans="1:4" x14ac:dyDescent="0.3">
      <c r="A137">
        <v>158</v>
      </c>
      <c r="B137">
        <v>93</v>
      </c>
      <c r="C137">
        <v>2</v>
      </c>
      <c r="D137" s="1">
        <v>45580</v>
      </c>
    </row>
    <row r="138" spans="1:4" x14ac:dyDescent="0.3">
      <c r="A138">
        <v>160</v>
      </c>
      <c r="B138">
        <v>35</v>
      </c>
      <c r="C138">
        <v>8</v>
      </c>
      <c r="D138" s="1">
        <v>45392</v>
      </c>
    </row>
    <row r="139" spans="1:4" x14ac:dyDescent="0.3">
      <c r="A139">
        <v>161</v>
      </c>
      <c r="B139">
        <v>69</v>
      </c>
      <c r="C139">
        <v>5</v>
      </c>
      <c r="D139" s="1">
        <v>45480</v>
      </c>
    </row>
    <row r="140" spans="1:4" x14ac:dyDescent="0.3">
      <c r="A140">
        <v>162</v>
      </c>
      <c r="B140">
        <v>80</v>
      </c>
      <c r="C140">
        <v>19</v>
      </c>
      <c r="D140" s="1">
        <v>45375</v>
      </c>
    </row>
    <row r="141" spans="1:4" x14ac:dyDescent="0.3">
      <c r="A141">
        <v>163</v>
      </c>
      <c r="B141">
        <v>139</v>
      </c>
      <c r="C141">
        <v>20</v>
      </c>
      <c r="D141" s="1">
        <v>45553</v>
      </c>
    </row>
    <row r="142" spans="1:4" x14ac:dyDescent="0.3">
      <c r="A142">
        <v>164</v>
      </c>
      <c r="B142">
        <v>113</v>
      </c>
      <c r="C142">
        <v>19</v>
      </c>
      <c r="D142" s="1">
        <v>45569</v>
      </c>
    </row>
    <row r="143" spans="1:4" x14ac:dyDescent="0.3">
      <c r="A143">
        <v>165</v>
      </c>
      <c r="B143">
        <v>132</v>
      </c>
      <c r="C143">
        <v>12</v>
      </c>
      <c r="D143" s="1">
        <v>45554</v>
      </c>
    </row>
    <row r="144" spans="1:4" x14ac:dyDescent="0.3">
      <c r="A144">
        <v>166</v>
      </c>
      <c r="B144">
        <v>19</v>
      </c>
      <c r="C144">
        <v>9</v>
      </c>
      <c r="D144" s="1">
        <v>45392</v>
      </c>
    </row>
    <row r="145" spans="1:4" x14ac:dyDescent="0.3">
      <c r="A145">
        <v>167</v>
      </c>
      <c r="B145">
        <v>37</v>
      </c>
      <c r="C145">
        <v>5</v>
      </c>
      <c r="D145" s="1">
        <v>45397</v>
      </c>
    </row>
    <row r="146" spans="1:4" x14ac:dyDescent="0.3">
      <c r="A146">
        <v>168</v>
      </c>
      <c r="B146">
        <v>42</v>
      </c>
      <c r="C146">
        <v>16</v>
      </c>
      <c r="D146" s="1">
        <v>45687</v>
      </c>
    </row>
    <row r="147" spans="1:4" x14ac:dyDescent="0.3">
      <c r="A147">
        <v>169</v>
      </c>
      <c r="B147">
        <v>93</v>
      </c>
      <c r="C147">
        <v>3</v>
      </c>
      <c r="D147" s="1">
        <v>45477</v>
      </c>
    </row>
    <row r="148" spans="1:4" x14ac:dyDescent="0.3">
      <c r="A148">
        <v>170</v>
      </c>
      <c r="B148">
        <v>55</v>
      </c>
      <c r="C148">
        <v>3</v>
      </c>
      <c r="D148" s="1">
        <v>45604</v>
      </c>
    </row>
    <row r="149" spans="1:4" x14ac:dyDescent="0.3">
      <c r="A149">
        <v>171</v>
      </c>
      <c r="B149">
        <v>51</v>
      </c>
      <c r="C149">
        <v>20</v>
      </c>
      <c r="D149" s="1">
        <v>45517</v>
      </c>
    </row>
    <row r="150" spans="1:4" x14ac:dyDescent="0.3">
      <c r="A150">
        <v>172</v>
      </c>
      <c r="B150">
        <v>5</v>
      </c>
      <c r="C150">
        <v>7</v>
      </c>
      <c r="D150" s="1">
        <v>45467</v>
      </c>
    </row>
    <row r="151" spans="1:4" x14ac:dyDescent="0.3">
      <c r="A151">
        <v>173</v>
      </c>
      <c r="B151">
        <v>142</v>
      </c>
      <c r="C151">
        <v>2</v>
      </c>
      <c r="D151" s="1">
        <v>45453</v>
      </c>
    </row>
    <row r="152" spans="1:4" x14ac:dyDescent="0.3">
      <c r="A152">
        <v>174</v>
      </c>
      <c r="B152">
        <v>128</v>
      </c>
      <c r="C152">
        <v>18</v>
      </c>
      <c r="D152" s="1">
        <v>45318</v>
      </c>
    </row>
    <row r="153" spans="1:4" x14ac:dyDescent="0.3">
      <c r="A153">
        <v>175</v>
      </c>
      <c r="B153">
        <v>18</v>
      </c>
      <c r="C153">
        <v>17</v>
      </c>
      <c r="D153" s="1">
        <v>45470</v>
      </c>
    </row>
    <row r="154" spans="1:4" x14ac:dyDescent="0.3">
      <c r="A154">
        <v>177</v>
      </c>
      <c r="B154">
        <v>147</v>
      </c>
      <c r="C154">
        <v>3</v>
      </c>
      <c r="D154" s="1">
        <v>45601</v>
      </c>
    </row>
    <row r="155" spans="1:4" x14ac:dyDescent="0.3">
      <c r="A155">
        <v>178</v>
      </c>
      <c r="B155">
        <v>19</v>
      </c>
      <c r="C155">
        <v>9</v>
      </c>
      <c r="D155" s="1">
        <v>45538</v>
      </c>
    </row>
    <row r="156" spans="1:4" x14ac:dyDescent="0.3">
      <c r="A156">
        <v>179</v>
      </c>
      <c r="B156">
        <v>83</v>
      </c>
      <c r="C156">
        <v>1</v>
      </c>
      <c r="D156" s="1">
        <v>45324</v>
      </c>
    </row>
    <row r="157" spans="1:4" x14ac:dyDescent="0.3">
      <c r="A157">
        <v>180</v>
      </c>
      <c r="B157">
        <v>58</v>
      </c>
      <c r="C157">
        <v>11</v>
      </c>
      <c r="D157" s="1">
        <v>45384</v>
      </c>
    </row>
    <row r="158" spans="1:4" x14ac:dyDescent="0.3">
      <c r="A158">
        <v>181</v>
      </c>
      <c r="B158">
        <v>65</v>
      </c>
      <c r="C158">
        <v>10</v>
      </c>
      <c r="D158" s="1">
        <v>45426</v>
      </c>
    </row>
    <row r="159" spans="1:4" x14ac:dyDescent="0.3">
      <c r="A159">
        <v>182</v>
      </c>
      <c r="B159">
        <v>4</v>
      </c>
      <c r="C159">
        <v>10</v>
      </c>
      <c r="D159" s="1">
        <v>45541</v>
      </c>
    </row>
    <row r="160" spans="1:4" x14ac:dyDescent="0.3">
      <c r="A160">
        <v>183</v>
      </c>
      <c r="B160">
        <v>13</v>
      </c>
      <c r="C160">
        <v>4</v>
      </c>
      <c r="D160" s="1">
        <v>45375</v>
      </c>
    </row>
    <row r="161" spans="1:4" x14ac:dyDescent="0.3">
      <c r="A161">
        <v>184</v>
      </c>
      <c r="B161">
        <v>56</v>
      </c>
      <c r="C161">
        <v>9</v>
      </c>
      <c r="D161" s="1">
        <v>45512</v>
      </c>
    </row>
    <row r="162" spans="1:4" x14ac:dyDescent="0.3">
      <c r="A162">
        <v>186</v>
      </c>
      <c r="B162">
        <v>66</v>
      </c>
      <c r="C162">
        <v>6</v>
      </c>
      <c r="D162" s="1">
        <v>45586</v>
      </c>
    </row>
    <row r="163" spans="1:4" x14ac:dyDescent="0.3">
      <c r="A163">
        <v>187</v>
      </c>
      <c r="B163">
        <v>25</v>
      </c>
      <c r="C163">
        <v>13</v>
      </c>
      <c r="D163" s="1">
        <v>45457</v>
      </c>
    </row>
    <row r="164" spans="1:4" x14ac:dyDescent="0.3">
      <c r="A164">
        <v>189</v>
      </c>
      <c r="B164">
        <v>39</v>
      </c>
      <c r="C164">
        <v>16</v>
      </c>
      <c r="D164" s="1">
        <v>45494</v>
      </c>
    </row>
    <row r="165" spans="1:4" x14ac:dyDescent="0.3">
      <c r="A165">
        <v>190</v>
      </c>
      <c r="B165">
        <v>64</v>
      </c>
      <c r="C165">
        <v>3</v>
      </c>
      <c r="D165" s="1">
        <v>45649</v>
      </c>
    </row>
    <row r="166" spans="1:4" x14ac:dyDescent="0.3">
      <c r="A166">
        <v>191</v>
      </c>
      <c r="B166">
        <v>133</v>
      </c>
      <c r="C166">
        <v>17</v>
      </c>
      <c r="D166" s="1">
        <v>45671</v>
      </c>
    </row>
    <row r="167" spans="1:4" x14ac:dyDescent="0.3">
      <c r="A167">
        <v>193</v>
      </c>
      <c r="B167">
        <v>128</v>
      </c>
      <c r="C167">
        <v>13</v>
      </c>
      <c r="D167" s="1">
        <v>45379</v>
      </c>
    </row>
    <row r="168" spans="1:4" x14ac:dyDescent="0.3">
      <c r="A168">
        <v>195</v>
      </c>
      <c r="B168">
        <v>96</v>
      </c>
      <c r="C168">
        <v>2</v>
      </c>
      <c r="D168" s="1">
        <v>45376</v>
      </c>
    </row>
    <row r="169" spans="1:4" x14ac:dyDescent="0.3">
      <c r="A169">
        <v>196</v>
      </c>
      <c r="B169">
        <v>91</v>
      </c>
      <c r="C169">
        <v>15</v>
      </c>
      <c r="D169" s="1">
        <v>45663</v>
      </c>
    </row>
    <row r="170" spans="1:4" x14ac:dyDescent="0.3">
      <c r="A170">
        <v>197</v>
      </c>
      <c r="B170">
        <v>140</v>
      </c>
      <c r="C170">
        <v>10</v>
      </c>
      <c r="D170" s="1">
        <v>45413</v>
      </c>
    </row>
    <row r="171" spans="1:4" x14ac:dyDescent="0.3">
      <c r="A171">
        <v>198</v>
      </c>
      <c r="B171">
        <v>92</v>
      </c>
      <c r="C171">
        <v>7</v>
      </c>
      <c r="D171" s="1">
        <v>45337</v>
      </c>
    </row>
    <row r="172" spans="1:4" x14ac:dyDescent="0.3">
      <c r="A172">
        <v>199</v>
      </c>
      <c r="B172">
        <v>12</v>
      </c>
      <c r="C172">
        <v>12</v>
      </c>
      <c r="D172" s="1">
        <v>45374</v>
      </c>
    </row>
    <row r="173" spans="1:4" x14ac:dyDescent="0.3">
      <c r="A173">
        <v>200</v>
      </c>
      <c r="B173">
        <v>45</v>
      </c>
      <c r="C173">
        <v>19</v>
      </c>
      <c r="D173" s="1">
        <v>45582</v>
      </c>
    </row>
    <row r="174" spans="1:4" x14ac:dyDescent="0.3">
      <c r="A174">
        <v>201</v>
      </c>
      <c r="B174">
        <v>148</v>
      </c>
      <c r="C174">
        <v>8</v>
      </c>
      <c r="D174" s="1">
        <v>45543</v>
      </c>
    </row>
    <row r="175" spans="1:4" x14ac:dyDescent="0.3">
      <c r="A175">
        <v>202</v>
      </c>
      <c r="B175">
        <v>42</v>
      </c>
      <c r="C175">
        <v>17</v>
      </c>
      <c r="D175" s="1">
        <v>45604</v>
      </c>
    </row>
    <row r="176" spans="1:4" x14ac:dyDescent="0.3">
      <c r="A176">
        <v>203</v>
      </c>
      <c r="B176">
        <v>120</v>
      </c>
      <c r="C176">
        <v>4</v>
      </c>
      <c r="D176" s="1">
        <v>45398</v>
      </c>
    </row>
    <row r="177" spans="1:4" x14ac:dyDescent="0.3">
      <c r="A177">
        <v>204</v>
      </c>
      <c r="B177">
        <v>44</v>
      </c>
      <c r="C177">
        <v>11</v>
      </c>
      <c r="D177" s="1">
        <v>45453</v>
      </c>
    </row>
    <row r="178" spans="1:4" x14ac:dyDescent="0.3">
      <c r="A178">
        <v>206</v>
      </c>
      <c r="B178">
        <v>110</v>
      </c>
      <c r="C178">
        <v>15</v>
      </c>
      <c r="D178" s="1">
        <v>45411</v>
      </c>
    </row>
    <row r="179" spans="1:4" x14ac:dyDescent="0.3">
      <c r="A179">
        <v>207</v>
      </c>
      <c r="B179">
        <v>80</v>
      </c>
      <c r="C179">
        <v>6</v>
      </c>
      <c r="D179" s="1">
        <v>45526</v>
      </c>
    </row>
    <row r="180" spans="1:4" x14ac:dyDescent="0.3">
      <c r="A180">
        <v>208</v>
      </c>
      <c r="B180">
        <v>80</v>
      </c>
      <c r="C180">
        <v>19</v>
      </c>
      <c r="D180" s="1">
        <v>45558</v>
      </c>
    </row>
    <row r="181" spans="1:4" x14ac:dyDescent="0.3">
      <c r="A181">
        <v>209</v>
      </c>
      <c r="B181">
        <v>40</v>
      </c>
      <c r="C181">
        <v>1</v>
      </c>
      <c r="D181" s="1">
        <v>45397</v>
      </c>
    </row>
    <row r="182" spans="1:4" x14ac:dyDescent="0.3">
      <c r="A182">
        <v>210</v>
      </c>
      <c r="B182">
        <v>98</v>
      </c>
      <c r="C182">
        <v>17</v>
      </c>
      <c r="D182" s="1">
        <v>45466</v>
      </c>
    </row>
    <row r="183" spans="1:4" x14ac:dyDescent="0.3">
      <c r="A183">
        <v>211</v>
      </c>
      <c r="B183">
        <v>113</v>
      </c>
      <c r="C183">
        <v>15</v>
      </c>
      <c r="D183" s="1">
        <v>45668</v>
      </c>
    </row>
    <row r="184" spans="1:4" x14ac:dyDescent="0.3">
      <c r="A184">
        <v>213</v>
      </c>
      <c r="B184">
        <v>25</v>
      </c>
      <c r="C184">
        <v>18</v>
      </c>
      <c r="D184" s="1">
        <v>45335</v>
      </c>
    </row>
    <row r="185" spans="1:4" x14ac:dyDescent="0.3">
      <c r="A185">
        <v>214</v>
      </c>
      <c r="B185">
        <v>102</v>
      </c>
      <c r="C185">
        <v>6</v>
      </c>
      <c r="D185" s="1">
        <v>45490</v>
      </c>
    </row>
    <row r="186" spans="1:4" x14ac:dyDescent="0.3">
      <c r="A186">
        <v>215</v>
      </c>
      <c r="B186">
        <v>10</v>
      </c>
      <c r="C186">
        <v>19</v>
      </c>
      <c r="D186" s="1">
        <v>45535</v>
      </c>
    </row>
    <row r="187" spans="1:4" x14ac:dyDescent="0.3">
      <c r="A187">
        <v>217</v>
      </c>
      <c r="B187">
        <v>90</v>
      </c>
      <c r="C187">
        <v>6</v>
      </c>
      <c r="D187" s="1">
        <v>45491</v>
      </c>
    </row>
    <row r="188" spans="1:4" x14ac:dyDescent="0.3">
      <c r="A188">
        <v>218</v>
      </c>
      <c r="B188">
        <v>8</v>
      </c>
      <c r="C188">
        <v>18</v>
      </c>
      <c r="D188" s="1">
        <v>45598</v>
      </c>
    </row>
    <row r="189" spans="1:4" x14ac:dyDescent="0.3">
      <c r="A189">
        <v>219</v>
      </c>
      <c r="B189">
        <v>17</v>
      </c>
      <c r="C189">
        <v>18</v>
      </c>
      <c r="D189" s="1">
        <v>45323</v>
      </c>
    </row>
    <row r="190" spans="1:4" x14ac:dyDescent="0.3">
      <c r="A190">
        <v>220</v>
      </c>
      <c r="B190">
        <v>82</v>
      </c>
      <c r="C190">
        <v>15</v>
      </c>
      <c r="D190" s="1">
        <v>45409</v>
      </c>
    </row>
    <row r="191" spans="1:4" x14ac:dyDescent="0.3">
      <c r="A191">
        <v>221</v>
      </c>
      <c r="B191">
        <v>27</v>
      </c>
      <c r="C191">
        <v>13</v>
      </c>
      <c r="D191" s="1">
        <v>45463</v>
      </c>
    </row>
    <row r="192" spans="1:4" x14ac:dyDescent="0.3">
      <c r="A192">
        <v>222</v>
      </c>
      <c r="B192">
        <v>72</v>
      </c>
      <c r="C192">
        <v>14</v>
      </c>
      <c r="D192" s="1">
        <v>45319</v>
      </c>
    </row>
    <row r="193" spans="1:4" x14ac:dyDescent="0.3">
      <c r="A193">
        <v>223</v>
      </c>
      <c r="B193">
        <v>25</v>
      </c>
      <c r="C193">
        <v>6</v>
      </c>
      <c r="D193" s="1">
        <v>45530</v>
      </c>
    </row>
    <row r="194" spans="1:4" x14ac:dyDescent="0.3">
      <c r="A194">
        <v>224</v>
      </c>
      <c r="B194">
        <v>110</v>
      </c>
      <c r="C194">
        <v>20</v>
      </c>
      <c r="D194" s="1">
        <v>45497</v>
      </c>
    </row>
    <row r="195" spans="1:4" x14ac:dyDescent="0.3">
      <c r="A195">
        <v>225</v>
      </c>
      <c r="B195">
        <v>130</v>
      </c>
      <c r="C195">
        <v>5</v>
      </c>
      <c r="D195" s="1">
        <v>45671</v>
      </c>
    </row>
    <row r="196" spans="1:4" x14ac:dyDescent="0.3">
      <c r="A196">
        <v>226</v>
      </c>
      <c r="B196">
        <v>36</v>
      </c>
      <c r="C196">
        <v>20</v>
      </c>
      <c r="D196" s="1">
        <v>45455</v>
      </c>
    </row>
    <row r="197" spans="1:4" x14ac:dyDescent="0.3">
      <c r="A197">
        <v>227</v>
      </c>
      <c r="B197">
        <v>56</v>
      </c>
      <c r="C197">
        <v>15</v>
      </c>
      <c r="D197" s="1">
        <v>45391</v>
      </c>
    </row>
    <row r="198" spans="1:4" x14ac:dyDescent="0.3">
      <c r="A198">
        <v>228</v>
      </c>
      <c r="B198">
        <v>27</v>
      </c>
      <c r="C198">
        <v>4</v>
      </c>
      <c r="D198" s="1">
        <v>45624</v>
      </c>
    </row>
    <row r="199" spans="1:4" x14ac:dyDescent="0.3">
      <c r="A199">
        <v>229</v>
      </c>
      <c r="B199">
        <v>39</v>
      </c>
      <c r="C199">
        <v>12</v>
      </c>
      <c r="D199" s="1">
        <v>45509</v>
      </c>
    </row>
    <row r="200" spans="1:4" x14ac:dyDescent="0.3">
      <c r="A200">
        <v>230</v>
      </c>
      <c r="B200">
        <v>72</v>
      </c>
      <c r="C200">
        <v>13</v>
      </c>
      <c r="D200" s="1">
        <v>45578</v>
      </c>
    </row>
    <row r="201" spans="1:4" x14ac:dyDescent="0.3">
      <c r="A201">
        <v>231</v>
      </c>
      <c r="B201">
        <v>115</v>
      </c>
      <c r="C201">
        <v>10</v>
      </c>
      <c r="D201" s="1">
        <v>45299</v>
      </c>
    </row>
    <row r="202" spans="1:4" x14ac:dyDescent="0.3">
      <c r="A202">
        <v>232</v>
      </c>
      <c r="B202">
        <v>149</v>
      </c>
      <c r="C202">
        <v>13</v>
      </c>
      <c r="D202" s="1">
        <v>45671</v>
      </c>
    </row>
    <row r="203" spans="1:4" x14ac:dyDescent="0.3">
      <c r="A203">
        <v>233</v>
      </c>
      <c r="B203">
        <v>75</v>
      </c>
      <c r="C203">
        <v>6</v>
      </c>
      <c r="D203" s="1">
        <v>45452</v>
      </c>
    </row>
    <row r="204" spans="1:4" x14ac:dyDescent="0.3">
      <c r="A204">
        <v>234</v>
      </c>
      <c r="B204">
        <v>115</v>
      </c>
      <c r="C204">
        <v>5</v>
      </c>
      <c r="D204" s="1">
        <v>45343</v>
      </c>
    </row>
    <row r="205" spans="1:4" x14ac:dyDescent="0.3">
      <c r="A205">
        <v>235</v>
      </c>
      <c r="B205">
        <v>32</v>
      </c>
      <c r="C205">
        <v>18</v>
      </c>
      <c r="D205" s="1">
        <v>45526</v>
      </c>
    </row>
    <row r="206" spans="1:4" x14ac:dyDescent="0.3">
      <c r="A206">
        <v>237</v>
      </c>
      <c r="B206">
        <v>149</v>
      </c>
      <c r="C206">
        <v>11</v>
      </c>
      <c r="D206" s="1">
        <v>45617</v>
      </c>
    </row>
    <row r="207" spans="1:4" x14ac:dyDescent="0.3">
      <c r="A207">
        <v>238</v>
      </c>
      <c r="B207">
        <v>119</v>
      </c>
      <c r="C207">
        <v>11</v>
      </c>
      <c r="D207" s="1">
        <v>45579</v>
      </c>
    </row>
    <row r="208" spans="1:4" x14ac:dyDescent="0.3">
      <c r="A208">
        <v>239</v>
      </c>
      <c r="B208">
        <v>138</v>
      </c>
      <c r="C208">
        <v>7</v>
      </c>
      <c r="D208" s="1">
        <v>45540</v>
      </c>
    </row>
    <row r="209" spans="1:4" x14ac:dyDescent="0.3">
      <c r="A209">
        <v>240</v>
      </c>
      <c r="B209">
        <v>52</v>
      </c>
      <c r="C209">
        <v>20</v>
      </c>
      <c r="D209" s="1">
        <v>45377</v>
      </c>
    </row>
    <row r="210" spans="1:4" x14ac:dyDescent="0.3">
      <c r="A210">
        <v>241</v>
      </c>
      <c r="B210">
        <v>83</v>
      </c>
      <c r="C210">
        <v>20</v>
      </c>
      <c r="D210" s="1">
        <v>45417</v>
      </c>
    </row>
    <row r="211" spans="1:4" x14ac:dyDescent="0.3">
      <c r="A211">
        <v>242</v>
      </c>
      <c r="B211">
        <v>108</v>
      </c>
      <c r="C211">
        <v>1</v>
      </c>
      <c r="D211" s="1">
        <v>45680</v>
      </c>
    </row>
    <row r="212" spans="1:4" x14ac:dyDescent="0.3">
      <c r="A212">
        <v>243</v>
      </c>
      <c r="B212">
        <v>105</v>
      </c>
      <c r="C212">
        <v>7</v>
      </c>
      <c r="D212" s="1">
        <v>45468</v>
      </c>
    </row>
    <row r="213" spans="1:4" x14ac:dyDescent="0.3">
      <c r="A213">
        <v>245</v>
      </c>
      <c r="B213">
        <v>45</v>
      </c>
      <c r="C213">
        <v>1</v>
      </c>
      <c r="D213" s="1">
        <v>45649</v>
      </c>
    </row>
    <row r="214" spans="1:4" x14ac:dyDescent="0.3">
      <c r="A214">
        <v>246</v>
      </c>
      <c r="B214">
        <v>90</v>
      </c>
      <c r="C214">
        <v>20</v>
      </c>
      <c r="D214" s="1">
        <v>45491</v>
      </c>
    </row>
    <row r="215" spans="1:4" x14ac:dyDescent="0.3">
      <c r="A215">
        <v>247</v>
      </c>
      <c r="B215">
        <v>57</v>
      </c>
      <c r="C215">
        <v>8</v>
      </c>
      <c r="D215" s="1">
        <v>45691</v>
      </c>
    </row>
    <row r="216" spans="1:4" x14ac:dyDescent="0.3">
      <c r="A216">
        <v>248</v>
      </c>
      <c r="B216">
        <v>82</v>
      </c>
      <c r="C216">
        <v>13</v>
      </c>
      <c r="D216" s="1">
        <v>45325</v>
      </c>
    </row>
    <row r="217" spans="1:4" x14ac:dyDescent="0.3">
      <c r="A217">
        <v>249</v>
      </c>
      <c r="B217">
        <v>76</v>
      </c>
      <c r="C217">
        <v>4</v>
      </c>
      <c r="D217" s="1">
        <v>45396</v>
      </c>
    </row>
    <row r="218" spans="1:4" x14ac:dyDescent="0.3">
      <c r="A218">
        <v>250</v>
      </c>
      <c r="B218">
        <v>90</v>
      </c>
      <c r="C218">
        <v>3</v>
      </c>
      <c r="D218" s="1"/>
    </row>
    <row r="219" spans="1:4" x14ac:dyDescent="0.3">
      <c r="A219">
        <v>251</v>
      </c>
      <c r="B219">
        <v>29</v>
      </c>
      <c r="C219">
        <v>18</v>
      </c>
      <c r="D219" s="1">
        <v>45500</v>
      </c>
    </row>
    <row r="220" spans="1:4" x14ac:dyDescent="0.3">
      <c r="A220">
        <v>252</v>
      </c>
      <c r="B220">
        <v>46</v>
      </c>
      <c r="C220">
        <v>11</v>
      </c>
      <c r="D220" s="1">
        <v>45667</v>
      </c>
    </row>
    <row r="221" spans="1:4" x14ac:dyDescent="0.3">
      <c r="A221">
        <v>254</v>
      </c>
      <c r="B221">
        <v>134</v>
      </c>
      <c r="C221">
        <v>9</v>
      </c>
      <c r="D221" s="1">
        <v>45618</v>
      </c>
    </row>
    <row r="222" spans="1:4" x14ac:dyDescent="0.3">
      <c r="A222">
        <v>255</v>
      </c>
      <c r="B222">
        <v>43</v>
      </c>
      <c r="C222">
        <v>18</v>
      </c>
      <c r="D222" s="1">
        <v>45398</v>
      </c>
    </row>
    <row r="223" spans="1:4" x14ac:dyDescent="0.3">
      <c r="A223">
        <v>257</v>
      </c>
      <c r="B223">
        <v>34</v>
      </c>
      <c r="C223">
        <v>14</v>
      </c>
      <c r="D223" s="1">
        <v>45518</v>
      </c>
    </row>
    <row r="224" spans="1:4" x14ac:dyDescent="0.3">
      <c r="A224">
        <v>258</v>
      </c>
      <c r="B224">
        <v>82</v>
      </c>
      <c r="C224">
        <v>20</v>
      </c>
      <c r="D224" s="1">
        <v>45360</v>
      </c>
    </row>
    <row r="225" spans="1:4" x14ac:dyDescent="0.3">
      <c r="A225">
        <v>259</v>
      </c>
      <c r="B225">
        <v>45</v>
      </c>
      <c r="C225">
        <v>8</v>
      </c>
      <c r="D225" s="1"/>
    </row>
    <row r="226" spans="1:4" x14ac:dyDescent="0.3">
      <c r="A226">
        <v>261</v>
      </c>
      <c r="B226">
        <v>137</v>
      </c>
      <c r="C226">
        <v>16</v>
      </c>
      <c r="D226" s="1">
        <v>45625</v>
      </c>
    </row>
    <row r="227" spans="1:4" x14ac:dyDescent="0.3">
      <c r="A227">
        <v>262</v>
      </c>
      <c r="B227">
        <v>54</v>
      </c>
      <c r="C227">
        <v>12</v>
      </c>
      <c r="D227" s="1">
        <v>45581</v>
      </c>
    </row>
    <row r="228" spans="1:4" x14ac:dyDescent="0.3">
      <c r="A228">
        <v>263</v>
      </c>
      <c r="B228">
        <v>90</v>
      </c>
      <c r="C228">
        <v>3</v>
      </c>
      <c r="D228" s="1">
        <v>45654</v>
      </c>
    </row>
    <row r="229" spans="1:4" x14ac:dyDescent="0.3">
      <c r="A229">
        <v>266</v>
      </c>
      <c r="B229">
        <v>11</v>
      </c>
      <c r="C229">
        <v>9</v>
      </c>
      <c r="D229" s="1">
        <v>45661</v>
      </c>
    </row>
    <row r="230" spans="1:4" x14ac:dyDescent="0.3">
      <c r="A230">
        <v>267</v>
      </c>
      <c r="B230">
        <v>28</v>
      </c>
      <c r="C230">
        <v>4</v>
      </c>
      <c r="D230" s="1">
        <v>45557</v>
      </c>
    </row>
    <row r="231" spans="1:4" x14ac:dyDescent="0.3">
      <c r="A231">
        <v>268</v>
      </c>
      <c r="B231">
        <v>115</v>
      </c>
      <c r="C231">
        <v>19</v>
      </c>
      <c r="D231" s="1">
        <v>45496</v>
      </c>
    </row>
    <row r="232" spans="1:4" x14ac:dyDescent="0.3">
      <c r="A232">
        <v>269</v>
      </c>
      <c r="B232">
        <v>124</v>
      </c>
      <c r="C232">
        <v>9</v>
      </c>
      <c r="D232" s="1">
        <v>45559</v>
      </c>
    </row>
    <row r="233" spans="1:4" x14ac:dyDescent="0.3">
      <c r="A233">
        <v>270</v>
      </c>
      <c r="B233">
        <v>90</v>
      </c>
      <c r="C233">
        <v>13</v>
      </c>
      <c r="D233" s="1">
        <v>45365</v>
      </c>
    </row>
    <row r="234" spans="1:4" x14ac:dyDescent="0.3">
      <c r="A234">
        <v>271</v>
      </c>
      <c r="B234">
        <v>141</v>
      </c>
      <c r="C234">
        <v>7</v>
      </c>
      <c r="D234" s="1">
        <v>45502</v>
      </c>
    </row>
    <row r="235" spans="1:4" x14ac:dyDescent="0.3">
      <c r="A235">
        <v>272</v>
      </c>
      <c r="B235">
        <v>61</v>
      </c>
      <c r="C235">
        <v>8</v>
      </c>
      <c r="D235" s="1">
        <v>45392</v>
      </c>
    </row>
    <row r="236" spans="1:4" x14ac:dyDescent="0.3">
      <c r="A236">
        <v>273</v>
      </c>
      <c r="B236">
        <v>101</v>
      </c>
      <c r="C236">
        <v>15</v>
      </c>
      <c r="D236" s="1">
        <v>45302</v>
      </c>
    </row>
    <row r="237" spans="1:4" x14ac:dyDescent="0.3">
      <c r="A237">
        <v>274</v>
      </c>
      <c r="B237">
        <v>25</v>
      </c>
      <c r="C237">
        <v>2</v>
      </c>
      <c r="D237" s="1">
        <v>45607</v>
      </c>
    </row>
    <row r="238" spans="1:4" x14ac:dyDescent="0.3">
      <c r="A238">
        <v>276</v>
      </c>
      <c r="B238">
        <v>72</v>
      </c>
      <c r="C238">
        <v>14</v>
      </c>
      <c r="D238" s="1">
        <v>45314</v>
      </c>
    </row>
    <row r="239" spans="1:4" x14ac:dyDescent="0.3">
      <c r="A239">
        <v>277</v>
      </c>
      <c r="B239">
        <v>96</v>
      </c>
      <c r="C239">
        <v>14</v>
      </c>
      <c r="D239" s="1">
        <v>45359</v>
      </c>
    </row>
    <row r="240" spans="1:4" x14ac:dyDescent="0.3">
      <c r="A240">
        <v>278</v>
      </c>
      <c r="B240">
        <v>13</v>
      </c>
      <c r="C240">
        <v>17</v>
      </c>
      <c r="D240" s="1">
        <v>45690</v>
      </c>
    </row>
    <row r="241" spans="1:4" x14ac:dyDescent="0.3">
      <c r="A241">
        <v>279</v>
      </c>
      <c r="B241">
        <v>134</v>
      </c>
      <c r="C241">
        <v>12</v>
      </c>
      <c r="D241" s="1">
        <v>45524</v>
      </c>
    </row>
    <row r="242" spans="1:4" x14ac:dyDescent="0.3">
      <c r="A242">
        <v>281</v>
      </c>
      <c r="B242">
        <v>112</v>
      </c>
      <c r="C242">
        <v>5</v>
      </c>
      <c r="D242" s="1">
        <v>45617</v>
      </c>
    </row>
    <row r="243" spans="1:4" x14ac:dyDescent="0.3">
      <c r="A243">
        <v>282</v>
      </c>
      <c r="B243">
        <v>39</v>
      </c>
      <c r="C243">
        <v>10</v>
      </c>
      <c r="D243" s="1">
        <v>45301</v>
      </c>
    </row>
    <row r="244" spans="1:4" x14ac:dyDescent="0.3">
      <c r="A244">
        <v>283</v>
      </c>
      <c r="B244">
        <v>7</v>
      </c>
      <c r="C244">
        <v>16</v>
      </c>
      <c r="D244" s="1">
        <v>45304</v>
      </c>
    </row>
    <row r="245" spans="1:4" x14ac:dyDescent="0.3">
      <c r="A245">
        <v>284</v>
      </c>
      <c r="B245">
        <v>111</v>
      </c>
      <c r="C245">
        <v>3</v>
      </c>
      <c r="D245" s="1">
        <v>45326</v>
      </c>
    </row>
    <row r="246" spans="1:4" x14ac:dyDescent="0.3">
      <c r="A246">
        <v>285</v>
      </c>
      <c r="B246">
        <v>129</v>
      </c>
      <c r="C246">
        <v>4</v>
      </c>
      <c r="D246" s="1">
        <v>45532</v>
      </c>
    </row>
    <row r="247" spans="1:4" x14ac:dyDescent="0.3">
      <c r="A247">
        <v>286</v>
      </c>
      <c r="B247">
        <v>101</v>
      </c>
      <c r="C247">
        <v>20</v>
      </c>
      <c r="D247" s="1">
        <v>45357</v>
      </c>
    </row>
    <row r="248" spans="1:4" x14ac:dyDescent="0.3">
      <c r="A248">
        <v>287</v>
      </c>
      <c r="B248">
        <v>62</v>
      </c>
      <c r="C248">
        <v>17</v>
      </c>
      <c r="D248" s="1">
        <v>45570</v>
      </c>
    </row>
    <row r="249" spans="1:4" x14ac:dyDescent="0.3">
      <c r="A249">
        <v>288</v>
      </c>
      <c r="B249">
        <v>82</v>
      </c>
      <c r="C249">
        <v>15</v>
      </c>
      <c r="D249" s="1">
        <v>45486</v>
      </c>
    </row>
    <row r="250" spans="1:4" x14ac:dyDescent="0.3">
      <c r="A250">
        <v>289</v>
      </c>
      <c r="B250">
        <v>95</v>
      </c>
      <c r="C250">
        <v>4</v>
      </c>
      <c r="D250" s="1">
        <v>45351</v>
      </c>
    </row>
    <row r="251" spans="1:4" x14ac:dyDescent="0.3">
      <c r="A251">
        <v>290</v>
      </c>
      <c r="B251">
        <v>51</v>
      </c>
      <c r="C251">
        <v>4</v>
      </c>
      <c r="D251" s="1">
        <v>45341</v>
      </c>
    </row>
    <row r="252" spans="1:4" x14ac:dyDescent="0.3">
      <c r="A252">
        <v>291</v>
      </c>
      <c r="B252">
        <v>23</v>
      </c>
      <c r="C252">
        <v>1</v>
      </c>
      <c r="D252" s="1">
        <v>45645</v>
      </c>
    </row>
    <row r="253" spans="1:4" x14ac:dyDescent="0.3">
      <c r="A253">
        <v>292</v>
      </c>
      <c r="B253">
        <v>61</v>
      </c>
      <c r="C253">
        <v>3</v>
      </c>
      <c r="D253" s="1">
        <v>45554</v>
      </c>
    </row>
    <row r="254" spans="1:4" x14ac:dyDescent="0.3">
      <c r="A254">
        <v>293</v>
      </c>
      <c r="B254">
        <v>16</v>
      </c>
      <c r="C254">
        <v>19</v>
      </c>
      <c r="D254" s="1">
        <v>45449</v>
      </c>
    </row>
    <row r="255" spans="1:4" x14ac:dyDescent="0.3">
      <c r="A255">
        <v>294</v>
      </c>
      <c r="B255">
        <v>101</v>
      </c>
      <c r="C255">
        <v>2</v>
      </c>
      <c r="D255" s="1">
        <v>45511</v>
      </c>
    </row>
    <row r="256" spans="1:4" x14ac:dyDescent="0.3">
      <c r="A256">
        <v>295</v>
      </c>
      <c r="B256">
        <v>71</v>
      </c>
      <c r="C256">
        <v>20</v>
      </c>
      <c r="D256" s="1">
        <v>45635</v>
      </c>
    </row>
    <row r="257" spans="1:4" x14ac:dyDescent="0.3">
      <c r="A257">
        <v>296</v>
      </c>
      <c r="B257">
        <v>69</v>
      </c>
      <c r="C257">
        <v>11</v>
      </c>
      <c r="D257" s="1">
        <v>45536</v>
      </c>
    </row>
    <row r="258" spans="1:4" x14ac:dyDescent="0.3">
      <c r="A258">
        <v>298</v>
      </c>
      <c r="B258">
        <v>132</v>
      </c>
      <c r="C258">
        <v>6</v>
      </c>
      <c r="D258" s="1">
        <v>45565</v>
      </c>
    </row>
    <row r="259" spans="1:4" x14ac:dyDescent="0.3">
      <c r="A259">
        <v>299</v>
      </c>
      <c r="B259">
        <v>117</v>
      </c>
      <c r="C259">
        <v>10</v>
      </c>
      <c r="D259" s="1">
        <v>45673</v>
      </c>
    </row>
    <row r="260" spans="1:4" x14ac:dyDescent="0.3">
      <c r="A260">
        <v>300</v>
      </c>
      <c r="B260">
        <v>83</v>
      </c>
      <c r="C260">
        <v>17</v>
      </c>
      <c r="D260" s="1">
        <v>45591</v>
      </c>
    </row>
    <row r="261" spans="1:4" x14ac:dyDescent="0.3">
      <c r="A261">
        <v>302</v>
      </c>
      <c r="B261">
        <v>57</v>
      </c>
      <c r="C261">
        <v>10</v>
      </c>
      <c r="D261" s="1">
        <v>45597</v>
      </c>
    </row>
    <row r="262" spans="1:4" x14ac:dyDescent="0.3">
      <c r="A262">
        <v>305</v>
      </c>
      <c r="B262">
        <v>36</v>
      </c>
      <c r="C262">
        <v>4</v>
      </c>
      <c r="D262" s="1">
        <v>45569</v>
      </c>
    </row>
    <row r="263" spans="1:4" x14ac:dyDescent="0.3">
      <c r="A263">
        <v>306</v>
      </c>
      <c r="B263">
        <v>117</v>
      </c>
      <c r="C263">
        <v>2</v>
      </c>
      <c r="D263" s="1">
        <v>45548</v>
      </c>
    </row>
    <row r="264" spans="1:4" x14ac:dyDescent="0.3">
      <c r="A264">
        <v>308</v>
      </c>
      <c r="B264">
        <v>4</v>
      </c>
      <c r="C264">
        <v>18</v>
      </c>
      <c r="D264" s="1">
        <v>45569</v>
      </c>
    </row>
    <row r="265" spans="1:4" x14ac:dyDescent="0.3">
      <c r="A265">
        <v>309</v>
      </c>
      <c r="B265">
        <v>17</v>
      </c>
      <c r="C265">
        <v>15</v>
      </c>
      <c r="D265" s="1">
        <v>45395</v>
      </c>
    </row>
    <row r="266" spans="1:4" x14ac:dyDescent="0.3">
      <c r="A266">
        <v>310</v>
      </c>
      <c r="B266">
        <v>69</v>
      </c>
      <c r="C266">
        <v>17</v>
      </c>
      <c r="D266" s="1"/>
    </row>
    <row r="267" spans="1:4" x14ac:dyDescent="0.3">
      <c r="A267">
        <v>311</v>
      </c>
      <c r="B267">
        <v>103</v>
      </c>
      <c r="C267">
        <v>4</v>
      </c>
      <c r="D267" s="1"/>
    </row>
    <row r="268" spans="1:4" x14ac:dyDescent="0.3">
      <c r="A268">
        <v>312</v>
      </c>
      <c r="B268">
        <v>147</v>
      </c>
      <c r="C268">
        <v>15</v>
      </c>
      <c r="D268" s="1">
        <v>45342</v>
      </c>
    </row>
    <row r="269" spans="1:4" x14ac:dyDescent="0.3">
      <c r="A269">
        <v>314</v>
      </c>
      <c r="B269">
        <v>12</v>
      </c>
      <c r="C269">
        <v>7</v>
      </c>
      <c r="D269" s="1">
        <v>45593</v>
      </c>
    </row>
    <row r="270" spans="1:4" x14ac:dyDescent="0.3">
      <c r="A270">
        <v>315</v>
      </c>
      <c r="B270">
        <v>30</v>
      </c>
      <c r="C270">
        <v>2</v>
      </c>
      <c r="D270" s="1">
        <v>45378</v>
      </c>
    </row>
    <row r="271" spans="1:4" x14ac:dyDescent="0.3">
      <c r="A271">
        <v>316</v>
      </c>
      <c r="B271">
        <v>79</v>
      </c>
      <c r="C271">
        <v>7</v>
      </c>
      <c r="D271" s="1">
        <v>45352</v>
      </c>
    </row>
    <row r="272" spans="1:4" x14ac:dyDescent="0.3">
      <c r="A272">
        <v>317</v>
      </c>
      <c r="B272">
        <v>59</v>
      </c>
      <c r="C272">
        <v>7</v>
      </c>
      <c r="D272" s="1">
        <v>45374</v>
      </c>
    </row>
    <row r="273" spans="1:4" x14ac:dyDescent="0.3">
      <c r="A273">
        <v>319</v>
      </c>
      <c r="B273">
        <v>74</v>
      </c>
      <c r="C273">
        <v>19</v>
      </c>
      <c r="D273" s="1">
        <v>45428</v>
      </c>
    </row>
    <row r="274" spans="1:4" x14ac:dyDescent="0.3">
      <c r="A274">
        <v>321</v>
      </c>
      <c r="B274">
        <v>73</v>
      </c>
      <c r="C274">
        <v>16</v>
      </c>
      <c r="D274" s="1">
        <v>45303</v>
      </c>
    </row>
    <row r="275" spans="1:4" x14ac:dyDescent="0.3">
      <c r="A275">
        <v>322</v>
      </c>
      <c r="B275">
        <v>18</v>
      </c>
      <c r="C275">
        <v>6</v>
      </c>
      <c r="D275" s="1">
        <v>45508</v>
      </c>
    </row>
    <row r="276" spans="1:4" x14ac:dyDescent="0.3">
      <c r="A276">
        <v>323</v>
      </c>
      <c r="B276">
        <v>9</v>
      </c>
      <c r="C276">
        <v>14</v>
      </c>
      <c r="D276" s="1">
        <v>45401</v>
      </c>
    </row>
    <row r="277" spans="1:4" x14ac:dyDescent="0.3">
      <c r="A277">
        <v>324</v>
      </c>
      <c r="B277">
        <v>91</v>
      </c>
      <c r="C277">
        <v>17</v>
      </c>
      <c r="D277" s="1">
        <v>45504</v>
      </c>
    </row>
    <row r="278" spans="1:4" x14ac:dyDescent="0.3">
      <c r="A278">
        <v>325</v>
      </c>
      <c r="B278">
        <v>58</v>
      </c>
      <c r="C278">
        <v>8</v>
      </c>
      <c r="D278" s="1">
        <v>45367</v>
      </c>
    </row>
    <row r="279" spans="1:4" x14ac:dyDescent="0.3">
      <c r="A279">
        <v>326</v>
      </c>
      <c r="B279">
        <v>115</v>
      </c>
      <c r="C279">
        <v>11</v>
      </c>
      <c r="D279" s="1">
        <v>45322</v>
      </c>
    </row>
    <row r="280" spans="1:4" x14ac:dyDescent="0.3">
      <c r="A280">
        <v>327</v>
      </c>
      <c r="B280">
        <v>40</v>
      </c>
      <c r="C280">
        <v>17</v>
      </c>
      <c r="D280" s="1">
        <v>45403</v>
      </c>
    </row>
    <row r="281" spans="1:4" x14ac:dyDescent="0.3">
      <c r="A281">
        <v>328</v>
      </c>
      <c r="B281">
        <v>1</v>
      </c>
      <c r="C281">
        <v>16</v>
      </c>
      <c r="D281" s="1">
        <v>45487</v>
      </c>
    </row>
    <row r="282" spans="1:4" x14ac:dyDescent="0.3">
      <c r="A282">
        <v>329</v>
      </c>
      <c r="B282">
        <v>75</v>
      </c>
      <c r="C282">
        <v>7</v>
      </c>
      <c r="D282" s="1">
        <v>45451</v>
      </c>
    </row>
    <row r="283" spans="1:4" x14ac:dyDescent="0.3">
      <c r="A283">
        <v>330</v>
      </c>
      <c r="B283">
        <v>98</v>
      </c>
      <c r="C283">
        <v>2</v>
      </c>
      <c r="D283" s="1">
        <v>45359</v>
      </c>
    </row>
    <row r="284" spans="1:4" x14ac:dyDescent="0.3">
      <c r="A284">
        <v>331</v>
      </c>
      <c r="B284">
        <v>138</v>
      </c>
      <c r="C284">
        <v>1</v>
      </c>
      <c r="D284" s="1">
        <v>45685</v>
      </c>
    </row>
    <row r="285" spans="1:4" x14ac:dyDescent="0.3">
      <c r="A285">
        <v>333</v>
      </c>
      <c r="B285">
        <v>112</v>
      </c>
      <c r="C285">
        <v>7</v>
      </c>
      <c r="D285" s="1">
        <v>45443</v>
      </c>
    </row>
    <row r="286" spans="1:4" x14ac:dyDescent="0.3">
      <c r="A286">
        <v>334</v>
      </c>
      <c r="B286">
        <v>64</v>
      </c>
      <c r="C286">
        <v>8</v>
      </c>
      <c r="D286" s="1">
        <v>45556</v>
      </c>
    </row>
    <row r="287" spans="1:4" x14ac:dyDescent="0.3">
      <c r="A287">
        <v>335</v>
      </c>
      <c r="B287">
        <v>46</v>
      </c>
      <c r="C287">
        <v>16</v>
      </c>
      <c r="D287" s="1">
        <v>45543</v>
      </c>
    </row>
    <row r="288" spans="1:4" x14ac:dyDescent="0.3">
      <c r="A288">
        <v>336</v>
      </c>
      <c r="B288">
        <v>111</v>
      </c>
      <c r="C288">
        <v>13</v>
      </c>
      <c r="D288" s="1">
        <v>45475</v>
      </c>
    </row>
    <row r="289" spans="1:4" x14ac:dyDescent="0.3">
      <c r="A289">
        <v>337</v>
      </c>
      <c r="B289">
        <v>7</v>
      </c>
      <c r="C289">
        <v>13</v>
      </c>
      <c r="D289" s="1">
        <v>45575</v>
      </c>
    </row>
    <row r="290" spans="1:4" x14ac:dyDescent="0.3">
      <c r="A290">
        <v>338</v>
      </c>
      <c r="B290">
        <v>16</v>
      </c>
      <c r="C290">
        <v>10</v>
      </c>
      <c r="D290" s="1">
        <v>45364</v>
      </c>
    </row>
    <row r="291" spans="1:4" x14ac:dyDescent="0.3">
      <c r="A291">
        <v>339</v>
      </c>
      <c r="B291">
        <v>25</v>
      </c>
      <c r="C291">
        <v>7</v>
      </c>
      <c r="D291" s="1">
        <v>45490</v>
      </c>
    </row>
    <row r="292" spans="1:4" x14ac:dyDescent="0.3">
      <c r="A292">
        <v>340</v>
      </c>
      <c r="B292">
        <v>109</v>
      </c>
      <c r="C292">
        <v>9</v>
      </c>
      <c r="D292" s="1">
        <v>45598</v>
      </c>
    </row>
    <row r="293" spans="1:4" x14ac:dyDescent="0.3">
      <c r="A293">
        <v>341</v>
      </c>
      <c r="B293">
        <v>28</v>
      </c>
      <c r="C293">
        <v>11</v>
      </c>
      <c r="D293" s="1">
        <v>45552</v>
      </c>
    </row>
    <row r="294" spans="1:4" x14ac:dyDescent="0.3">
      <c r="A294">
        <v>343</v>
      </c>
      <c r="B294">
        <v>7</v>
      </c>
      <c r="C294">
        <v>18</v>
      </c>
      <c r="D294" s="1">
        <v>45692</v>
      </c>
    </row>
    <row r="295" spans="1:4" x14ac:dyDescent="0.3">
      <c r="A295">
        <v>344</v>
      </c>
      <c r="B295">
        <v>25</v>
      </c>
      <c r="C295">
        <v>12</v>
      </c>
      <c r="D295" s="1">
        <v>45630</v>
      </c>
    </row>
    <row r="296" spans="1:4" x14ac:dyDescent="0.3">
      <c r="A296">
        <v>345</v>
      </c>
      <c r="B296">
        <v>25</v>
      </c>
      <c r="C296">
        <v>10</v>
      </c>
      <c r="D296" s="1">
        <v>45524</v>
      </c>
    </row>
    <row r="297" spans="1:4" x14ac:dyDescent="0.3">
      <c r="A297">
        <v>346</v>
      </c>
      <c r="B297">
        <v>105</v>
      </c>
      <c r="C297">
        <v>13</v>
      </c>
      <c r="D297" s="1">
        <v>45363</v>
      </c>
    </row>
    <row r="298" spans="1:4" x14ac:dyDescent="0.3">
      <c r="A298">
        <v>347</v>
      </c>
      <c r="B298">
        <v>34</v>
      </c>
      <c r="C298">
        <v>18</v>
      </c>
      <c r="D298" s="1">
        <v>45306</v>
      </c>
    </row>
    <row r="299" spans="1:4" x14ac:dyDescent="0.3">
      <c r="A299">
        <v>348</v>
      </c>
      <c r="B299">
        <v>60</v>
      </c>
      <c r="C299">
        <v>17</v>
      </c>
      <c r="D299" s="1">
        <v>45492</v>
      </c>
    </row>
    <row r="300" spans="1:4" x14ac:dyDescent="0.3">
      <c r="A300">
        <v>349</v>
      </c>
      <c r="B300">
        <v>16</v>
      </c>
      <c r="C300">
        <v>14</v>
      </c>
      <c r="D300" s="1">
        <v>45306</v>
      </c>
    </row>
    <row r="301" spans="1:4" x14ac:dyDescent="0.3">
      <c r="A301">
        <v>350</v>
      </c>
      <c r="B301">
        <v>11</v>
      </c>
      <c r="C301">
        <v>15</v>
      </c>
      <c r="D301" s="1">
        <v>45599</v>
      </c>
    </row>
    <row r="302" spans="1:4" x14ac:dyDescent="0.3">
      <c r="A302">
        <v>351</v>
      </c>
      <c r="B302">
        <v>11</v>
      </c>
      <c r="C302">
        <v>12</v>
      </c>
      <c r="D302" s="1">
        <v>45334</v>
      </c>
    </row>
    <row r="303" spans="1:4" x14ac:dyDescent="0.3">
      <c r="A303">
        <v>352</v>
      </c>
      <c r="B303">
        <v>19</v>
      </c>
      <c r="C303">
        <v>2</v>
      </c>
      <c r="D303" s="1">
        <v>45685</v>
      </c>
    </row>
    <row r="304" spans="1:4" x14ac:dyDescent="0.3">
      <c r="A304">
        <v>353</v>
      </c>
      <c r="B304">
        <v>79</v>
      </c>
      <c r="C304">
        <v>3</v>
      </c>
      <c r="D304" s="1">
        <v>45591</v>
      </c>
    </row>
    <row r="305" spans="1:4" x14ac:dyDescent="0.3">
      <c r="A305">
        <v>354</v>
      </c>
      <c r="B305">
        <v>92</v>
      </c>
      <c r="C305">
        <v>11</v>
      </c>
      <c r="D305" s="1">
        <v>45567</v>
      </c>
    </row>
    <row r="306" spans="1:4" x14ac:dyDescent="0.3">
      <c r="A306">
        <v>355</v>
      </c>
      <c r="B306">
        <v>91</v>
      </c>
      <c r="C306">
        <v>17</v>
      </c>
      <c r="D306" s="1">
        <v>45685</v>
      </c>
    </row>
    <row r="307" spans="1:4" x14ac:dyDescent="0.3">
      <c r="A307">
        <v>356</v>
      </c>
      <c r="B307">
        <v>60</v>
      </c>
      <c r="C307">
        <v>8</v>
      </c>
      <c r="D307" s="1">
        <v>45419</v>
      </c>
    </row>
    <row r="308" spans="1:4" x14ac:dyDescent="0.3">
      <c r="A308">
        <v>357</v>
      </c>
      <c r="B308">
        <v>56</v>
      </c>
      <c r="C308">
        <v>10</v>
      </c>
      <c r="D308" s="1">
        <v>45616</v>
      </c>
    </row>
    <row r="309" spans="1:4" x14ac:dyDescent="0.3">
      <c r="A309">
        <v>358</v>
      </c>
      <c r="B309">
        <v>83</v>
      </c>
      <c r="C309">
        <v>10</v>
      </c>
      <c r="D309" s="1">
        <v>45448</v>
      </c>
    </row>
    <row r="310" spans="1:4" x14ac:dyDescent="0.3">
      <c r="A310">
        <v>359</v>
      </c>
      <c r="B310">
        <v>124</v>
      </c>
      <c r="C310">
        <v>9</v>
      </c>
      <c r="D310" s="1"/>
    </row>
    <row r="311" spans="1:4" x14ac:dyDescent="0.3">
      <c r="A311">
        <v>361</v>
      </c>
      <c r="B311">
        <v>103</v>
      </c>
      <c r="C311">
        <v>7</v>
      </c>
      <c r="D311" s="1">
        <v>45374</v>
      </c>
    </row>
    <row r="312" spans="1:4" x14ac:dyDescent="0.3">
      <c r="A312">
        <v>362</v>
      </c>
      <c r="B312">
        <v>142</v>
      </c>
      <c r="C312">
        <v>20</v>
      </c>
      <c r="D312" s="1">
        <v>45362</v>
      </c>
    </row>
    <row r="313" spans="1:4" x14ac:dyDescent="0.3">
      <c r="A313">
        <v>363</v>
      </c>
      <c r="B313">
        <v>55</v>
      </c>
      <c r="C313">
        <v>6</v>
      </c>
      <c r="D313" s="1">
        <v>45329</v>
      </c>
    </row>
    <row r="314" spans="1:4" x14ac:dyDescent="0.3">
      <c r="A314">
        <v>364</v>
      </c>
      <c r="B314">
        <v>103</v>
      </c>
      <c r="C314">
        <v>4</v>
      </c>
      <c r="D314" s="1">
        <v>45311</v>
      </c>
    </row>
    <row r="315" spans="1:4" x14ac:dyDescent="0.3">
      <c r="A315">
        <v>365</v>
      </c>
      <c r="B315">
        <v>57</v>
      </c>
      <c r="C315">
        <v>10</v>
      </c>
      <c r="D315" s="1">
        <v>45650</v>
      </c>
    </row>
    <row r="316" spans="1:4" x14ac:dyDescent="0.3">
      <c r="A316">
        <v>366</v>
      </c>
      <c r="B316">
        <v>115</v>
      </c>
      <c r="C316">
        <v>11</v>
      </c>
      <c r="D316" s="1">
        <v>45553</v>
      </c>
    </row>
    <row r="317" spans="1:4" x14ac:dyDescent="0.3">
      <c r="A317">
        <v>367</v>
      </c>
      <c r="B317">
        <v>60</v>
      </c>
      <c r="C317">
        <v>4</v>
      </c>
      <c r="D317" s="1">
        <v>45334</v>
      </c>
    </row>
    <row r="318" spans="1:4" x14ac:dyDescent="0.3">
      <c r="A318">
        <v>368</v>
      </c>
      <c r="B318">
        <v>143</v>
      </c>
      <c r="C318">
        <v>15</v>
      </c>
      <c r="D318" s="1">
        <v>45560</v>
      </c>
    </row>
    <row r="319" spans="1:4" x14ac:dyDescent="0.3">
      <c r="A319">
        <v>369</v>
      </c>
      <c r="B319">
        <v>43</v>
      </c>
      <c r="C319">
        <v>15</v>
      </c>
      <c r="D319" s="1">
        <v>45297</v>
      </c>
    </row>
    <row r="320" spans="1:4" x14ac:dyDescent="0.3">
      <c r="A320">
        <v>370</v>
      </c>
      <c r="B320">
        <v>50</v>
      </c>
      <c r="C320">
        <v>1</v>
      </c>
      <c r="D320" s="1">
        <v>45513</v>
      </c>
    </row>
    <row r="321" spans="1:4" x14ac:dyDescent="0.3">
      <c r="A321">
        <v>371</v>
      </c>
      <c r="B321">
        <v>133</v>
      </c>
      <c r="C321">
        <v>20</v>
      </c>
      <c r="D321" s="1">
        <v>45416</v>
      </c>
    </row>
    <row r="322" spans="1:4" x14ac:dyDescent="0.3">
      <c r="A322">
        <v>373</v>
      </c>
      <c r="B322">
        <v>8</v>
      </c>
      <c r="C322">
        <v>1</v>
      </c>
      <c r="D322" s="1">
        <v>45428</v>
      </c>
    </row>
    <row r="323" spans="1:4" x14ac:dyDescent="0.3">
      <c r="A323">
        <v>374</v>
      </c>
      <c r="B323">
        <v>113</v>
      </c>
      <c r="C323">
        <v>2</v>
      </c>
      <c r="D323" s="1">
        <v>45612</v>
      </c>
    </row>
    <row r="324" spans="1:4" x14ac:dyDescent="0.3">
      <c r="A324">
        <v>376</v>
      </c>
      <c r="B324">
        <v>29</v>
      </c>
      <c r="C324">
        <v>7</v>
      </c>
      <c r="D324" s="1">
        <v>45350</v>
      </c>
    </row>
    <row r="325" spans="1:4" x14ac:dyDescent="0.3">
      <c r="A325">
        <v>377</v>
      </c>
      <c r="B325">
        <v>35</v>
      </c>
      <c r="C325">
        <v>20</v>
      </c>
      <c r="D325" s="1">
        <v>45307</v>
      </c>
    </row>
    <row r="326" spans="1:4" x14ac:dyDescent="0.3">
      <c r="A326">
        <v>378</v>
      </c>
      <c r="B326">
        <v>7</v>
      </c>
      <c r="C326">
        <v>15</v>
      </c>
      <c r="D326" s="1">
        <v>45597</v>
      </c>
    </row>
    <row r="327" spans="1:4" x14ac:dyDescent="0.3">
      <c r="A327">
        <v>379</v>
      </c>
      <c r="B327">
        <v>59</v>
      </c>
      <c r="C327">
        <v>16</v>
      </c>
      <c r="D327" s="1"/>
    </row>
    <row r="328" spans="1:4" x14ac:dyDescent="0.3">
      <c r="A328">
        <v>380</v>
      </c>
      <c r="B328">
        <v>3</v>
      </c>
      <c r="C328">
        <v>8</v>
      </c>
      <c r="D328" s="1">
        <v>45380</v>
      </c>
    </row>
    <row r="329" spans="1:4" x14ac:dyDescent="0.3">
      <c r="A329">
        <v>381</v>
      </c>
      <c r="B329">
        <v>36</v>
      </c>
      <c r="C329">
        <v>11</v>
      </c>
      <c r="D329" s="1">
        <v>45362</v>
      </c>
    </row>
    <row r="330" spans="1:4" x14ac:dyDescent="0.3">
      <c r="A330">
        <v>382</v>
      </c>
      <c r="B330">
        <v>139</v>
      </c>
      <c r="C330">
        <v>9</v>
      </c>
      <c r="D330" s="1">
        <v>45587</v>
      </c>
    </row>
    <row r="331" spans="1:4" x14ac:dyDescent="0.3">
      <c r="A331">
        <v>383</v>
      </c>
      <c r="B331">
        <v>140</v>
      </c>
      <c r="C331">
        <v>9</v>
      </c>
      <c r="D331" s="1">
        <v>45391</v>
      </c>
    </row>
    <row r="332" spans="1:4" x14ac:dyDescent="0.3">
      <c r="A332">
        <v>384</v>
      </c>
      <c r="B332">
        <v>139</v>
      </c>
      <c r="C332">
        <v>13</v>
      </c>
      <c r="D332" s="1">
        <v>45472</v>
      </c>
    </row>
    <row r="333" spans="1:4" x14ac:dyDescent="0.3">
      <c r="A333">
        <v>385</v>
      </c>
      <c r="B333">
        <v>137</v>
      </c>
      <c r="C333">
        <v>15</v>
      </c>
      <c r="D333" s="1">
        <v>45498</v>
      </c>
    </row>
    <row r="334" spans="1:4" x14ac:dyDescent="0.3">
      <c r="A334">
        <v>387</v>
      </c>
      <c r="B334">
        <v>54</v>
      </c>
      <c r="C334">
        <v>17</v>
      </c>
      <c r="D334" s="1">
        <v>45493</v>
      </c>
    </row>
    <row r="335" spans="1:4" x14ac:dyDescent="0.3">
      <c r="A335">
        <v>388</v>
      </c>
      <c r="B335">
        <v>82</v>
      </c>
      <c r="C335">
        <v>5</v>
      </c>
      <c r="D335" s="1">
        <v>45305</v>
      </c>
    </row>
    <row r="336" spans="1:4" x14ac:dyDescent="0.3">
      <c r="A336">
        <v>389</v>
      </c>
      <c r="B336">
        <v>11</v>
      </c>
      <c r="C336">
        <v>14</v>
      </c>
      <c r="D336" s="1">
        <v>45404</v>
      </c>
    </row>
    <row r="337" spans="1:4" x14ac:dyDescent="0.3">
      <c r="A337">
        <v>390</v>
      </c>
      <c r="B337">
        <v>122</v>
      </c>
      <c r="C337">
        <v>17</v>
      </c>
      <c r="D337" s="1">
        <v>45664</v>
      </c>
    </row>
    <row r="338" spans="1:4" x14ac:dyDescent="0.3">
      <c r="A338">
        <v>391</v>
      </c>
      <c r="B338">
        <v>9</v>
      </c>
      <c r="C338">
        <v>5</v>
      </c>
      <c r="D338" s="1">
        <v>45325</v>
      </c>
    </row>
    <row r="339" spans="1:4" x14ac:dyDescent="0.3">
      <c r="A339">
        <v>392</v>
      </c>
      <c r="B339">
        <v>100</v>
      </c>
      <c r="C339">
        <v>18</v>
      </c>
      <c r="D339" s="1">
        <v>45576</v>
      </c>
    </row>
    <row r="340" spans="1:4" x14ac:dyDescent="0.3">
      <c r="A340">
        <v>393</v>
      </c>
      <c r="B340">
        <v>56</v>
      </c>
      <c r="C340">
        <v>7</v>
      </c>
      <c r="D340" s="1">
        <v>45431</v>
      </c>
    </row>
    <row r="341" spans="1:4" x14ac:dyDescent="0.3">
      <c r="A341">
        <v>395</v>
      </c>
      <c r="B341">
        <v>69</v>
      </c>
      <c r="C341">
        <v>7</v>
      </c>
      <c r="D341" s="1">
        <v>45303</v>
      </c>
    </row>
    <row r="342" spans="1:4" x14ac:dyDescent="0.3">
      <c r="A342">
        <v>396</v>
      </c>
      <c r="B342">
        <v>137</v>
      </c>
      <c r="C342">
        <v>6</v>
      </c>
      <c r="D342" s="1">
        <v>45566</v>
      </c>
    </row>
    <row r="343" spans="1:4" x14ac:dyDescent="0.3">
      <c r="A343">
        <v>398</v>
      </c>
      <c r="B343">
        <v>104</v>
      </c>
      <c r="C343">
        <v>10</v>
      </c>
      <c r="D343" s="1">
        <v>45318</v>
      </c>
    </row>
    <row r="344" spans="1:4" x14ac:dyDescent="0.3">
      <c r="A344">
        <v>399</v>
      </c>
      <c r="B344">
        <v>26</v>
      </c>
      <c r="C344">
        <v>2</v>
      </c>
      <c r="D344" s="1">
        <v>45299</v>
      </c>
    </row>
    <row r="345" spans="1:4" x14ac:dyDescent="0.3">
      <c r="A345">
        <v>400</v>
      </c>
      <c r="B345">
        <v>122</v>
      </c>
      <c r="C345">
        <v>6</v>
      </c>
      <c r="D345" s="1">
        <v>45654</v>
      </c>
    </row>
    <row r="346" spans="1:4" x14ac:dyDescent="0.3">
      <c r="A346">
        <v>401</v>
      </c>
      <c r="B346">
        <v>28</v>
      </c>
      <c r="C346">
        <v>13</v>
      </c>
      <c r="D346" s="1">
        <v>45403</v>
      </c>
    </row>
    <row r="347" spans="1:4" x14ac:dyDescent="0.3">
      <c r="A347">
        <v>402</v>
      </c>
      <c r="B347">
        <v>87</v>
      </c>
      <c r="C347">
        <v>17</v>
      </c>
      <c r="D347" s="1">
        <v>45406</v>
      </c>
    </row>
    <row r="348" spans="1:4" x14ac:dyDescent="0.3">
      <c r="A348">
        <v>403</v>
      </c>
      <c r="B348">
        <v>95</v>
      </c>
      <c r="C348">
        <v>14</v>
      </c>
      <c r="D348" s="1">
        <v>45535</v>
      </c>
    </row>
    <row r="349" spans="1:4" x14ac:dyDescent="0.3">
      <c r="A349">
        <v>404</v>
      </c>
      <c r="B349">
        <v>114</v>
      </c>
      <c r="C349">
        <v>9</v>
      </c>
      <c r="D349" s="1">
        <v>45590</v>
      </c>
    </row>
    <row r="350" spans="1:4" x14ac:dyDescent="0.3">
      <c r="A350">
        <v>406</v>
      </c>
      <c r="B350">
        <v>28</v>
      </c>
      <c r="C350">
        <v>6</v>
      </c>
      <c r="D350" s="1">
        <v>45485</v>
      </c>
    </row>
    <row r="351" spans="1:4" x14ac:dyDescent="0.3">
      <c r="A351">
        <v>407</v>
      </c>
      <c r="B351">
        <v>89</v>
      </c>
      <c r="C351">
        <v>3</v>
      </c>
      <c r="D351" s="1">
        <v>45643</v>
      </c>
    </row>
    <row r="352" spans="1:4" x14ac:dyDescent="0.3">
      <c r="A352">
        <v>409</v>
      </c>
      <c r="B352">
        <v>29</v>
      </c>
      <c r="C352">
        <v>8</v>
      </c>
      <c r="D352" s="1">
        <v>45682</v>
      </c>
    </row>
    <row r="353" spans="1:4" x14ac:dyDescent="0.3">
      <c r="A353">
        <v>410</v>
      </c>
      <c r="B353">
        <v>24</v>
      </c>
      <c r="C353">
        <v>11</v>
      </c>
      <c r="D353" s="1">
        <v>45524</v>
      </c>
    </row>
    <row r="354" spans="1:4" x14ac:dyDescent="0.3">
      <c r="A354">
        <v>412</v>
      </c>
      <c r="B354">
        <v>43</v>
      </c>
      <c r="C354">
        <v>14</v>
      </c>
      <c r="D354" s="1">
        <v>45463</v>
      </c>
    </row>
    <row r="355" spans="1:4" x14ac:dyDescent="0.3">
      <c r="A355">
        <v>413</v>
      </c>
      <c r="B355">
        <v>114</v>
      </c>
      <c r="C355">
        <v>8</v>
      </c>
      <c r="D355" s="1">
        <v>45643</v>
      </c>
    </row>
    <row r="356" spans="1:4" x14ac:dyDescent="0.3">
      <c r="A356">
        <v>414</v>
      </c>
      <c r="B356">
        <v>8</v>
      </c>
      <c r="C356">
        <v>17</v>
      </c>
      <c r="D356" s="1">
        <v>45542</v>
      </c>
    </row>
    <row r="357" spans="1:4" x14ac:dyDescent="0.3">
      <c r="A357">
        <v>416</v>
      </c>
      <c r="B357">
        <v>132</v>
      </c>
      <c r="C357">
        <v>6</v>
      </c>
      <c r="D357" s="1">
        <v>45581</v>
      </c>
    </row>
    <row r="358" spans="1:4" x14ac:dyDescent="0.3">
      <c r="A358">
        <v>417</v>
      </c>
      <c r="B358">
        <v>21</v>
      </c>
      <c r="C358">
        <v>6</v>
      </c>
      <c r="D358" s="1">
        <v>45404</v>
      </c>
    </row>
    <row r="359" spans="1:4" x14ac:dyDescent="0.3">
      <c r="A359">
        <v>419</v>
      </c>
      <c r="B359">
        <v>27</v>
      </c>
      <c r="C359">
        <v>19</v>
      </c>
      <c r="D359" s="1">
        <v>45632</v>
      </c>
    </row>
    <row r="360" spans="1:4" x14ac:dyDescent="0.3">
      <c r="A360">
        <v>420</v>
      </c>
      <c r="B360">
        <v>9</v>
      </c>
      <c r="C360">
        <v>2</v>
      </c>
      <c r="D360" s="1">
        <v>45542</v>
      </c>
    </row>
    <row r="361" spans="1:4" x14ac:dyDescent="0.3">
      <c r="A361">
        <v>421</v>
      </c>
      <c r="B361">
        <v>69</v>
      </c>
      <c r="C361">
        <v>10</v>
      </c>
      <c r="D361" s="1">
        <v>45301</v>
      </c>
    </row>
    <row r="362" spans="1:4" x14ac:dyDescent="0.3">
      <c r="A362">
        <v>422</v>
      </c>
      <c r="B362">
        <v>87</v>
      </c>
      <c r="C362">
        <v>1</v>
      </c>
      <c r="D362" s="1">
        <v>45382</v>
      </c>
    </row>
    <row r="363" spans="1:4" x14ac:dyDescent="0.3">
      <c r="A363">
        <v>423</v>
      </c>
      <c r="B363">
        <v>61</v>
      </c>
      <c r="C363">
        <v>8</v>
      </c>
      <c r="D363" s="1">
        <v>45524</v>
      </c>
    </row>
    <row r="364" spans="1:4" x14ac:dyDescent="0.3">
      <c r="A364">
        <v>424</v>
      </c>
      <c r="B364">
        <v>15</v>
      </c>
      <c r="C364">
        <v>1</v>
      </c>
      <c r="D364" s="1">
        <v>45469</v>
      </c>
    </row>
    <row r="365" spans="1:4" x14ac:dyDescent="0.3">
      <c r="A365">
        <v>425</v>
      </c>
      <c r="B365">
        <v>101</v>
      </c>
      <c r="C365">
        <v>5</v>
      </c>
      <c r="D365" s="1">
        <v>45517</v>
      </c>
    </row>
    <row r="366" spans="1:4" x14ac:dyDescent="0.3">
      <c r="A366">
        <v>426</v>
      </c>
      <c r="B366">
        <v>102</v>
      </c>
      <c r="C366">
        <v>2</v>
      </c>
      <c r="D366" s="1">
        <v>45383</v>
      </c>
    </row>
    <row r="367" spans="1:4" x14ac:dyDescent="0.3">
      <c r="A367">
        <v>427</v>
      </c>
      <c r="B367">
        <v>117</v>
      </c>
      <c r="C367">
        <v>18</v>
      </c>
      <c r="D367" s="1">
        <v>45381</v>
      </c>
    </row>
    <row r="368" spans="1:4" x14ac:dyDescent="0.3">
      <c r="A368">
        <v>428</v>
      </c>
      <c r="B368">
        <v>10</v>
      </c>
      <c r="C368">
        <v>14</v>
      </c>
      <c r="D368" s="1">
        <v>45609</v>
      </c>
    </row>
    <row r="369" spans="1:4" x14ac:dyDescent="0.3">
      <c r="A369">
        <v>429</v>
      </c>
      <c r="B369">
        <v>66</v>
      </c>
      <c r="C369">
        <v>17</v>
      </c>
      <c r="D369" s="1">
        <v>45405</v>
      </c>
    </row>
    <row r="370" spans="1:4" x14ac:dyDescent="0.3">
      <c r="A370">
        <v>430</v>
      </c>
      <c r="B370">
        <v>11</v>
      </c>
      <c r="C370">
        <v>20</v>
      </c>
      <c r="D370" s="1">
        <v>45516</v>
      </c>
    </row>
    <row r="371" spans="1:4" x14ac:dyDescent="0.3">
      <c r="A371">
        <v>431</v>
      </c>
      <c r="B371">
        <v>103</v>
      </c>
      <c r="C371">
        <v>17</v>
      </c>
      <c r="D371" s="1">
        <v>45658</v>
      </c>
    </row>
    <row r="372" spans="1:4" x14ac:dyDescent="0.3">
      <c r="A372">
        <v>432</v>
      </c>
      <c r="B372">
        <v>87</v>
      </c>
      <c r="C372">
        <v>19</v>
      </c>
      <c r="D372" s="1">
        <v>45510</v>
      </c>
    </row>
    <row r="373" spans="1:4" x14ac:dyDescent="0.3">
      <c r="A373">
        <v>433</v>
      </c>
      <c r="B373">
        <v>108</v>
      </c>
      <c r="C373">
        <v>6</v>
      </c>
      <c r="D373" s="1">
        <v>45304</v>
      </c>
    </row>
    <row r="374" spans="1:4" x14ac:dyDescent="0.3">
      <c r="A374">
        <v>434</v>
      </c>
      <c r="B374">
        <v>140</v>
      </c>
      <c r="C374">
        <v>17</v>
      </c>
      <c r="D374" s="1">
        <v>45512</v>
      </c>
    </row>
    <row r="375" spans="1:4" x14ac:dyDescent="0.3">
      <c r="A375">
        <v>435</v>
      </c>
      <c r="B375">
        <v>129</v>
      </c>
      <c r="C375">
        <v>20</v>
      </c>
      <c r="D375" s="1">
        <v>45690</v>
      </c>
    </row>
    <row r="376" spans="1:4" x14ac:dyDescent="0.3">
      <c r="A376">
        <v>437</v>
      </c>
      <c r="B376">
        <v>117</v>
      </c>
      <c r="C376">
        <v>13</v>
      </c>
      <c r="D376" s="1">
        <v>45438</v>
      </c>
    </row>
    <row r="377" spans="1:4" x14ac:dyDescent="0.3">
      <c r="A377">
        <v>438</v>
      </c>
      <c r="B377">
        <v>62</v>
      </c>
      <c r="C377">
        <v>12</v>
      </c>
      <c r="D377" s="1">
        <v>45574</v>
      </c>
    </row>
    <row r="378" spans="1:4" x14ac:dyDescent="0.3">
      <c r="A378">
        <v>440</v>
      </c>
      <c r="B378">
        <v>19</v>
      </c>
      <c r="C378">
        <v>9</v>
      </c>
      <c r="D378" s="1"/>
    </row>
    <row r="379" spans="1:4" x14ac:dyDescent="0.3">
      <c r="A379">
        <v>441</v>
      </c>
      <c r="B379">
        <v>42</v>
      </c>
      <c r="C379">
        <v>9</v>
      </c>
      <c r="D379" s="1">
        <v>45655</v>
      </c>
    </row>
    <row r="380" spans="1:4" x14ac:dyDescent="0.3">
      <c r="A380">
        <v>442</v>
      </c>
      <c r="B380">
        <v>65</v>
      </c>
      <c r="C380">
        <v>16</v>
      </c>
      <c r="D380" s="1">
        <v>45686</v>
      </c>
    </row>
    <row r="381" spans="1:4" x14ac:dyDescent="0.3">
      <c r="A381">
        <v>443</v>
      </c>
      <c r="B381">
        <v>124</v>
      </c>
      <c r="C381">
        <v>4</v>
      </c>
      <c r="D381" s="1">
        <v>45300</v>
      </c>
    </row>
    <row r="382" spans="1:4" x14ac:dyDescent="0.3">
      <c r="A382">
        <v>444</v>
      </c>
      <c r="B382">
        <v>99</v>
      </c>
      <c r="C382">
        <v>2</v>
      </c>
      <c r="D382" s="1">
        <v>45404</v>
      </c>
    </row>
    <row r="383" spans="1:4" x14ac:dyDescent="0.3">
      <c r="A383">
        <v>445</v>
      </c>
      <c r="B383">
        <v>120</v>
      </c>
      <c r="C383">
        <v>18</v>
      </c>
      <c r="D383" s="1">
        <v>45380</v>
      </c>
    </row>
    <row r="384" spans="1:4" x14ac:dyDescent="0.3">
      <c r="A384">
        <v>446</v>
      </c>
      <c r="B384">
        <v>7</v>
      </c>
      <c r="C384">
        <v>2</v>
      </c>
      <c r="D384" s="1">
        <v>45665</v>
      </c>
    </row>
    <row r="385" spans="1:4" x14ac:dyDescent="0.3">
      <c r="A385">
        <v>448</v>
      </c>
      <c r="B385">
        <v>29</v>
      </c>
      <c r="C385">
        <v>11</v>
      </c>
      <c r="D385" s="1">
        <v>45474</v>
      </c>
    </row>
    <row r="386" spans="1:4" x14ac:dyDescent="0.3">
      <c r="A386">
        <v>449</v>
      </c>
      <c r="B386">
        <v>100</v>
      </c>
      <c r="C386">
        <v>10</v>
      </c>
      <c r="D386" s="1">
        <v>45455</v>
      </c>
    </row>
    <row r="387" spans="1:4" x14ac:dyDescent="0.3">
      <c r="A387">
        <v>450</v>
      </c>
      <c r="B387">
        <v>113</v>
      </c>
      <c r="C387">
        <v>18</v>
      </c>
      <c r="D387" s="1">
        <v>45334</v>
      </c>
    </row>
    <row r="388" spans="1:4" x14ac:dyDescent="0.3">
      <c r="A388">
        <v>451</v>
      </c>
      <c r="B388">
        <v>111</v>
      </c>
      <c r="C388">
        <v>14</v>
      </c>
      <c r="D388" s="1">
        <v>45470</v>
      </c>
    </row>
    <row r="389" spans="1:4" x14ac:dyDescent="0.3">
      <c r="A389">
        <v>452</v>
      </c>
      <c r="B389">
        <v>39</v>
      </c>
      <c r="C389">
        <v>2</v>
      </c>
      <c r="D389" s="1">
        <v>45592</v>
      </c>
    </row>
    <row r="390" spans="1:4" x14ac:dyDescent="0.3">
      <c r="A390">
        <v>453</v>
      </c>
      <c r="B390">
        <v>97</v>
      </c>
      <c r="C390">
        <v>3</v>
      </c>
      <c r="D390" s="1">
        <v>45461</v>
      </c>
    </row>
    <row r="391" spans="1:4" x14ac:dyDescent="0.3">
      <c r="A391">
        <v>454</v>
      </c>
      <c r="B391">
        <v>82</v>
      </c>
      <c r="C391">
        <v>19</v>
      </c>
      <c r="D391" s="1">
        <v>45615</v>
      </c>
    </row>
    <row r="392" spans="1:4" x14ac:dyDescent="0.3">
      <c r="A392">
        <v>455</v>
      </c>
      <c r="B392">
        <v>30</v>
      </c>
      <c r="C392">
        <v>18</v>
      </c>
      <c r="D392" s="1">
        <v>45382</v>
      </c>
    </row>
    <row r="393" spans="1:4" x14ac:dyDescent="0.3">
      <c r="A393">
        <v>456</v>
      </c>
      <c r="B393">
        <v>60</v>
      </c>
      <c r="C393">
        <v>12</v>
      </c>
      <c r="D393" s="1">
        <v>45396</v>
      </c>
    </row>
    <row r="394" spans="1:4" x14ac:dyDescent="0.3">
      <c r="A394">
        <v>457</v>
      </c>
      <c r="B394">
        <v>42</v>
      </c>
      <c r="C394">
        <v>7</v>
      </c>
      <c r="D394" s="1">
        <v>45607</v>
      </c>
    </row>
    <row r="395" spans="1:4" x14ac:dyDescent="0.3">
      <c r="A395">
        <v>458</v>
      </c>
      <c r="B395">
        <v>36</v>
      </c>
      <c r="C395">
        <v>13</v>
      </c>
      <c r="D395" s="1">
        <v>45445</v>
      </c>
    </row>
    <row r="396" spans="1:4" x14ac:dyDescent="0.3">
      <c r="A396">
        <v>459</v>
      </c>
      <c r="B396">
        <v>9</v>
      </c>
      <c r="C396">
        <v>18</v>
      </c>
      <c r="D396" s="1">
        <v>45509</v>
      </c>
    </row>
    <row r="397" spans="1:4" x14ac:dyDescent="0.3">
      <c r="A397">
        <v>460</v>
      </c>
      <c r="B397">
        <v>64</v>
      </c>
      <c r="C397">
        <v>5</v>
      </c>
      <c r="D397" s="1"/>
    </row>
    <row r="398" spans="1:4" x14ac:dyDescent="0.3">
      <c r="A398">
        <v>461</v>
      </c>
      <c r="B398">
        <v>114</v>
      </c>
      <c r="C398">
        <v>17</v>
      </c>
      <c r="D398" s="1">
        <v>45401</v>
      </c>
    </row>
    <row r="399" spans="1:4" x14ac:dyDescent="0.3">
      <c r="A399">
        <v>462</v>
      </c>
      <c r="B399">
        <v>87</v>
      </c>
      <c r="C399">
        <v>16</v>
      </c>
      <c r="D399" s="1">
        <v>45593</v>
      </c>
    </row>
    <row r="400" spans="1:4" x14ac:dyDescent="0.3">
      <c r="A400">
        <v>463</v>
      </c>
      <c r="B400">
        <v>15</v>
      </c>
      <c r="C400">
        <v>5</v>
      </c>
      <c r="D400" s="1">
        <v>45466</v>
      </c>
    </row>
    <row r="401" spans="1:4" x14ac:dyDescent="0.3">
      <c r="A401">
        <v>464</v>
      </c>
      <c r="B401">
        <v>46</v>
      </c>
      <c r="C401">
        <v>3</v>
      </c>
      <c r="D401" s="1">
        <v>45576</v>
      </c>
    </row>
    <row r="402" spans="1:4" x14ac:dyDescent="0.3">
      <c r="A402">
        <v>465</v>
      </c>
      <c r="B402">
        <v>47</v>
      </c>
      <c r="C402">
        <v>9</v>
      </c>
      <c r="D402" s="1">
        <v>45296</v>
      </c>
    </row>
    <row r="403" spans="1:4" x14ac:dyDescent="0.3">
      <c r="A403">
        <v>466</v>
      </c>
      <c r="B403">
        <v>103</v>
      </c>
      <c r="C403">
        <v>18</v>
      </c>
      <c r="D403" s="1">
        <v>45391</v>
      </c>
    </row>
    <row r="404" spans="1:4" x14ac:dyDescent="0.3">
      <c r="A404">
        <v>468</v>
      </c>
      <c r="B404">
        <v>102</v>
      </c>
      <c r="C404">
        <v>15</v>
      </c>
      <c r="D404" s="1">
        <v>45488</v>
      </c>
    </row>
    <row r="405" spans="1:4" x14ac:dyDescent="0.3">
      <c r="A405">
        <v>470</v>
      </c>
      <c r="B405">
        <v>97</v>
      </c>
      <c r="C405">
        <v>2</v>
      </c>
      <c r="D405" s="1">
        <v>45643</v>
      </c>
    </row>
    <row r="406" spans="1:4" x14ac:dyDescent="0.3">
      <c r="A406">
        <v>471</v>
      </c>
      <c r="B406">
        <v>5</v>
      </c>
      <c r="C406">
        <v>20</v>
      </c>
      <c r="D406" s="1">
        <v>45440</v>
      </c>
    </row>
    <row r="407" spans="1:4" x14ac:dyDescent="0.3">
      <c r="A407">
        <v>472</v>
      </c>
      <c r="B407">
        <v>3</v>
      </c>
      <c r="C407">
        <v>18</v>
      </c>
      <c r="D407" s="1">
        <v>45516</v>
      </c>
    </row>
    <row r="408" spans="1:4" x14ac:dyDescent="0.3">
      <c r="A408">
        <v>473</v>
      </c>
      <c r="B408">
        <v>101</v>
      </c>
      <c r="C408">
        <v>2</v>
      </c>
      <c r="D408" s="1">
        <v>45453</v>
      </c>
    </row>
    <row r="409" spans="1:4" x14ac:dyDescent="0.3">
      <c r="A409">
        <v>474</v>
      </c>
      <c r="B409">
        <v>115</v>
      </c>
      <c r="C409">
        <v>4</v>
      </c>
      <c r="D409" s="1">
        <v>45590</v>
      </c>
    </row>
    <row r="410" spans="1:4" x14ac:dyDescent="0.3">
      <c r="A410">
        <v>475</v>
      </c>
      <c r="B410">
        <v>32</v>
      </c>
      <c r="C410">
        <v>19</v>
      </c>
      <c r="D410" s="1">
        <v>45508</v>
      </c>
    </row>
    <row r="411" spans="1:4" x14ac:dyDescent="0.3">
      <c r="A411">
        <v>476</v>
      </c>
      <c r="B411">
        <v>143</v>
      </c>
      <c r="C411">
        <v>20</v>
      </c>
      <c r="D411" s="1"/>
    </row>
    <row r="412" spans="1:4" x14ac:dyDescent="0.3">
      <c r="A412">
        <v>477</v>
      </c>
      <c r="B412">
        <v>90</v>
      </c>
      <c r="C412">
        <v>6</v>
      </c>
      <c r="D412" s="1">
        <v>45501</v>
      </c>
    </row>
    <row r="413" spans="1:4" x14ac:dyDescent="0.3">
      <c r="A413">
        <v>478</v>
      </c>
      <c r="B413">
        <v>37</v>
      </c>
      <c r="C413">
        <v>10</v>
      </c>
      <c r="D413" s="1">
        <v>45499</v>
      </c>
    </row>
    <row r="414" spans="1:4" x14ac:dyDescent="0.3">
      <c r="A414">
        <v>480</v>
      </c>
      <c r="B414">
        <v>76</v>
      </c>
      <c r="C414">
        <v>19</v>
      </c>
      <c r="D414" s="1">
        <v>45583</v>
      </c>
    </row>
    <row r="415" spans="1:4" x14ac:dyDescent="0.3">
      <c r="A415">
        <v>481</v>
      </c>
      <c r="B415">
        <v>9</v>
      </c>
      <c r="C415">
        <v>13</v>
      </c>
      <c r="D415" s="1">
        <v>45596</v>
      </c>
    </row>
    <row r="416" spans="1:4" x14ac:dyDescent="0.3">
      <c r="A416">
        <v>483</v>
      </c>
      <c r="B416">
        <v>101</v>
      </c>
      <c r="C416">
        <v>19</v>
      </c>
      <c r="D416" s="1">
        <v>45457</v>
      </c>
    </row>
    <row r="417" spans="1:4" x14ac:dyDescent="0.3">
      <c r="A417">
        <v>484</v>
      </c>
      <c r="B417">
        <v>33</v>
      </c>
      <c r="C417">
        <v>17</v>
      </c>
      <c r="D417" s="1">
        <v>45576</v>
      </c>
    </row>
    <row r="418" spans="1:4" x14ac:dyDescent="0.3">
      <c r="A418">
        <v>485</v>
      </c>
      <c r="B418">
        <v>101</v>
      </c>
      <c r="C418">
        <v>9</v>
      </c>
      <c r="D418" s="1">
        <v>45620</v>
      </c>
    </row>
    <row r="419" spans="1:4" x14ac:dyDescent="0.3">
      <c r="A419">
        <v>486</v>
      </c>
      <c r="B419">
        <v>9</v>
      </c>
      <c r="C419">
        <v>10</v>
      </c>
      <c r="D419" s="1">
        <v>45492</v>
      </c>
    </row>
    <row r="420" spans="1:4" x14ac:dyDescent="0.3">
      <c r="A420">
        <v>487</v>
      </c>
      <c r="B420">
        <v>69</v>
      </c>
      <c r="C420">
        <v>13</v>
      </c>
      <c r="D420" s="1">
        <v>45373</v>
      </c>
    </row>
    <row r="421" spans="1:4" x14ac:dyDescent="0.3">
      <c r="A421">
        <v>488</v>
      </c>
      <c r="B421">
        <v>3</v>
      </c>
      <c r="C421">
        <v>4</v>
      </c>
      <c r="D421" s="1">
        <v>45432</v>
      </c>
    </row>
    <row r="422" spans="1:4" x14ac:dyDescent="0.3">
      <c r="A422">
        <v>489</v>
      </c>
      <c r="B422">
        <v>28</v>
      </c>
      <c r="C422">
        <v>15</v>
      </c>
      <c r="D422" s="1">
        <v>45635</v>
      </c>
    </row>
    <row r="423" spans="1:4" x14ac:dyDescent="0.3">
      <c r="A423">
        <v>490</v>
      </c>
      <c r="B423">
        <v>61</v>
      </c>
      <c r="C423">
        <v>2</v>
      </c>
      <c r="D423" s="1">
        <v>45369</v>
      </c>
    </row>
    <row r="424" spans="1:4" x14ac:dyDescent="0.3">
      <c r="A424">
        <v>491</v>
      </c>
      <c r="B424">
        <v>25</v>
      </c>
      <c r="C424">
        <v>2</v>
      </c>
      <c r="D424" s="1">
        <v>45407</v>
      </c>
    </row>
    <row r="425" spans="1:4" x14ac:dyDescent="0.3">
      <c r="A425">
        <v>492</v>
      </c>
      <c r="B425">
        <v>12</v>
      </c>
      <c r="C425">
        <v>9</v>
      </c>
      <c r="D425" s="1">
        <v>45588</v>
      </c>
    </row>
    <row r="426" spans="1:4" x14ac:dyDescent="0.3">
      <c r="A426">
        <v>493</v>
      </c>
      <c r="B426">
        <v>89</v>
      </c>
      <c r="C426">
        <v>4</v>
      </c>
      <c r="D426" s="1">
        <v>45504</v>
      </c>
    </row>
    <row r="427" spans="1:4" x14ac:dyDescent="0.3">
      <c r="A427">
        <v>494</v>
      </c>
      <c r="B427">
        <v>100</v>
      </c>
      <c r="C427">
        <v>20</v>
      </c>
      <c r="D427" s="1">
        <v>45317</v>
      </c>
    </row>
    <row r="428" spans="1:4" x14ac:dyDescent="0.3">
      <c r="A428">
        <v>495</v>
      </c>
      <c r="B428">
        <v>41</v>
      </c>
      <c r="C428">
        <v>18</v>
      </c>
      <c r="D428" s="1">
        <v>45611</v>
      </c>
    </row>
    <row r="429" spans="1:4" x14ac:dyDescent="0.3">
      <c r="A429">
        <v>496</v>
      </c>
      <c r="B429">
        <v>44</v>
      </c>
      <c r="C429">
        <v>12</v>
      </c>
      <c r="D429" s="1">
        <v>45585</v>
      </c>
    </row>
    <row r="430" spans="1:4" x14ac:dyDescent="0.3">
      <c r="A430">
        <v>497</v>
      </c>
      <c r="B430">
        <v>132</v>
      </c>
      <c r="C430">
        <v>19</v>
      </c>
      <c r="D430" s="1">
        <v>45601</v>
      </c>
    </row>
    <row r="431" spans="1:4" x14ac:dyDescent="0.3">
      <c r="A431">
        <v>499</v>
      </c>
      <c r="B431">
        <v>13</v>
      </c>
      <c r="C431">
        <v>1</v>
      </c>
      <c r="D431" s="1">
        <v>45614</v>
      </c>
    </row>
    <row r="432" spans="1:4" x14ac:dyDescent="0.3">
      <c r="A432">
        <v>501</v>
      </c>
      <c r="B432">
        <v>13</v>
      </c>
      <c r="C432">
        <v>9</v>
      </c>
      <c r="D432" s="1">
        <v>45292</v>
      </c>
    </row>
    <row r="433" spans="1:4" x14ac:dyDescent="0.3">
      <c r="A433">
        <v>502</v>
      </c>
      <c r="B433">
        <v>66</v>
      </c>
      <c r="C433">
        <v>15</v>
      </c>
      <c r="D433" s="1">
        <v>45572</v>
      </c>
    </row>
    <row r="434" spans="1:4" x14ac:dyDescent="0.3">
      <c r="A434">
        <v>503</v>
      </c>
      <c r="B434">
        <v>58</v>
      </c>
      <c r="C434">
        <v>10</v>
      </c>
      <c r="D434" s="1">
        <v>45488</v>
      </c>
    </row>
    <row r="435" spans="1:4" x14ac:dyDescent="0.3">
      <c r="A435">
        <v>504</v>
      </c>
      <c r="B435">
        <v>33</v>
      </c>
      <c r="C435">
        <v>17</v>
      </c>
      <c r="D435" s="1">
        <v>45620</v>
      </c>
    </row>
    <row r="436" spans="1:4" x14ac:dyDescent="0.3">
      <c r="A436">
        <v>505</v>
      </c>
      <c r="B436">
        <v>7</v>
      </c>
      <c r="C436">
        <v>12</v>
      </c>
      <c r="D436" s="1">
        <v>45548</v>
      </c>
    </row>
    <row r="437" spans="1:4" x14ac:dyDescent="0.3">
      <c r="A437">
        <v>506</v>
      </c>
      <c r="B437">
        <v>111</v>
      </c>
      <c r="C437">
        <v>5</v>
      </c>
      <c r="D437" s="1">
        <v>45655</v>
      </c>
    </row>
    <row r="438" spans="1:4" x14ac:dyDescent="0.3">
      <c r="A438">
        <v>507</v>
      </c>
      <c r="B438">
        <v>65</v>
      </c>
      <c r="C438">
        <v>7</v>
      </c>
      <c r="D438" s="1">
        <v>45432</v>
      </c>
    </row>
    <row r="439" spans="1:4" x14ac:dyDescent="0.3">
      <c r="A439">
        <v>508</v>
      </c>
      <c r="B439">
        <v>37</v>
      </c>
      <c r="C439">
        <v>18</v>
      </c>
      <c r="D439" s="1">
        <v>45460</v>
      </c>
    </row>
    <row r="440" spans="1:4" x14ac:dyDescent="0.3">
      <c r="A440">
        <v>509</v>
      </c>
      <c r="B440">
        <v>2</v>
      </c>
      <c r="C440">
        <v>8</v>
      </c>
      <c r="D440" s="1">
        <v>45406</v>
      </c>
    </row>
    <row r="441" spans="1:4" x14ac:dyDescent="0.3">
      <c r="A441">
        <v>510</v>
      </c>
      <c r="B441">
        <v>92</v>
      </c>
      <c r="C441">
        <v>5</v>
      </c>
      <c r="D441" s="1">
        <v>45654</v>
      </c>
    </row>
    <row r="442" spans="1:4" x14ac:dyDescent="0.3">
      <c r="A442">
        <v>511</v>
      </c>
      <c r="B442">
        <v>110</v>
      </c>
      <c r="C442">
        <v>20</v>
      </c>
      <c r="D442" s="1">
        <v>45501</v>
      </c>
    </row>
    <row r="443" spans="1:4" x14ac:dyDescent="0.3">
      <c r="A443">
        <v>512</v>
      </c>
      <c r="B443">
        <v>14</v>
      </c>
      <c r="C443">
        <v>17</v>
      </c>
      <c r="D443" s="1">
        <v>45517</v>
      </c>
    </row>
    <row r="444" spans="1:4" x14ac:dyDescent="0.3">
      <c r="A444">
        <v>513</v>
      </c>
      <c r="B444">
        <v>82</v>
      </c>
      <c r="C444">
        <v>7</v>
      </c>
      <c r="D444" s="1">
        <v>45443</v>
      </c>
    </row>
    <row r="445" spans="1:4" x14ac:dyDescent="0.3">
      <c r="A445">
        <v>514</v>
      </c>
      <c r="B445">
        <v>62</v>
      </c>
      <c r="C445">
        <v>13</v>
      </c>
      <c r="D445" s="1">
        <v>45398</v>
      </c>
    </row>
    <row r="446" spans="1:4" x14ac:dyDescent="0.3">
      <c r="A446">
        <v>515</v>
      </c>
      <c r="B446">
        <v>1</v>
      </c>
      <c r="C446">
        <v>16</v>
      </c>
      <c r="D446" s="1">
        <v>45469</v>
      </c>
    </row>
    <row r="447" spans="1:4" x14ac:dyDescent="0.3">
      <c r="A447">
        <v>516</v>
      </c>
      <c r="B447">
        <v>110</v>
      </c>
      <c r="C447">
        <v>16</v>
      </c>
      <c r="D447" s="1">
        <v>45687</v>
      </c>
    </row>
    <row r="448" spans="1:4" x14ac:dyDescent="0.3">
      <c r="A448">
        <v>517</v>
      </c>
      <c r="B448">
        <v>71</v>
      </c>
      <c r="C448">
        <v>4</v>
      </c>
      <c r="D448" s="1">
        <v>45338</v>
      </c>
    </row>
    <row r="449" spans="1:4" x14ac:dyDescent="0.3">
      <c r="A449">
        <v>518</v>
      </c>
      <c r="B449">
        <v>104</v>
      </c>
      <c r="C449">
        <v>5</v>
      </c>
      <c r="D449" s="1">
        <v>45404</v>
      </c>
    </row>
    <row r="450" spans="1:4" x14ac:dyDescent="0.3">
      <c r="A450">
        <v>519</v>
      </c>
      <c r="B450">
        <v>133</v>
      </c>
      <c r="C450">
        <v>7</v>
      </c>
      <c r="D450" s="1">
        <v>45350</v>
      </c>
    </row>
    <row r="451" spans="1:4" x14ac:dyDescent="0.3">
      <c r="A451">
        <v>520</v>
      </c>
      <c r="B451">
        <v>94</v>
      </c>
      <c r="C451">
        <v>11</v>
      </c>
      <c r="D451" s="1">
        <v>45374</v>
      </c>
    </row>
    <row r="452" spans="1:4" x14ac:dyDescent="0.3">
      <c r="A452">
        <v>522</v>
      </c>
      <c r="B452">
        <v>124</v>
      </c>
      <c r="C452">
        <v>20</v>
      </c>
      <c r="D452" s="1">
        <v>45307</v>
      </c>
    </row>
    <row r="453" spans="1:4" x14ac:dyDescent="0.3">
      <c r="A453">
        <v>523</v>
      </c>
      <c r="B453">
        <v>5</v>
      </c>
      <c r="C453">
        <v>6</v>
      </c>
      <c r="D453" s="1"/>
    </row>
    <row r="454" spans="1:4" x14ac:dyDescent="0.3">
      <c r="A454">
        <v>524</v>
      </c>
      <c r="B454">
        <v>59</v>
      </c>
      <c r="C454">
        <v>3</v>
      </c>
      <c r="D454" s="1">
        <v>45649</v>
      </c>
    </row>
    <row r="455" spans="1:4" x14ac:dyDescent="0.3">
      <c r="A455">
        <v>525</v>
      </c>
      <c r="B455">
        <v>95</v>
      </c>
      <c r="C455">
        <v>7</v>
      </c>
      <c r="D455" s="1">
        <v>45510</v>
      </c>
    </row>
    <row r="456" spans="1:4" x14ac:dyDescent="0.3">
      <c r="A456">
        <v>526</v>
      </c>
      <c r="B456">
        <v>101</v>
      </c>
      <c r="C456">
        <v>11</v>
      </c>
      <c r="D456" s="1">
        <v>45346</v>
      </c>
    </row>
    <row r="457" spans="1:4" x14ac:dyDescent="0.3">
      <c r="A457">
        <v>528</v>
      </c>
      <c r="B457">
        <v>66</v>
      </c>
      <c r="C457">
        <v>13</v>
      </c>
      <c r="D457" s="1">
        <v>45593</v>
      </c>
    </row>
    <row r="458" spans="1:4" x14ac:dyDescent="0.3">
      <c r="A458">
        <v>529</v>
      </c>
      <c r="B458">
        <v>91</v>
      </c>
      <c r="C458">
        <v>20</v>
      </c>
      <c r="D458" s="1">
        <v>45678</v>
      </c>
    </row>
    <row r="459" spans="1:4" x14ac:dyDescent="0.3">
      <c r="A459">
        <v>530</v>
      </c>
      <c r="B459">
        <v>112</v>
      </c>
      <c r="C459">
        <v>8</v>
      </c>
      <c r="D459" s="1">
        <v>45330</v>
      </c>
    </row>
    <row r="460" spans="1:4" x14ac:dyDescent="0.3">
      <c r="A460">
        <v>531</v>
      </c>
      <c r="B460">
        <v>89</v>
      </c>
      <c r="C460">
        <v>10</v>
      </c>
      <c r="D460" s="1">
        <v>45605</v>
      </c>
    </row>
    <row r="461" spans="1:4" x14ac:dyDescent="0.3">
      <c r="A461">
        <v>533</v>
      </c>
      <c r="B461">
        <v>58</v>
      </c>
      <c r="C461">
        <v>18</v>
      </c>
      <c r="D461" s="1">
        <v>45379</v>
      </c>
    </row>
    <row r="462" spans="1:4" x14ac:dyDescent="0.3">
      <c r="A462">
        <v>534</v>
      </c>
      <c r="B462">
        <v>109</v>
      </c>
      <c r="C462">
        <v>13</v>
      </c>
      <c r="D462" s="1">
        <v>45516</v>
      </c>
    </row>
    <row r="463" spans="1:4" x14ac:dyDescent="0.3">
      <c r="A463">
        <v>535</v>
      </c>
      <c r="B463">
        <v>102</v>
      </c>
      <c r="C463">
        <v>5</v>
      </c>
      <c r="D463" s="1"/>
    </row>
    <row r="464" spans="1:4" x14ac:dyDescent="0.3">
      <c r="A464">
        <v>536</v>
      </c>
      <c r="B464">
        <v>122</v>
      </c>
      <c r="C464">
        <v>13</v>
      </c>
      <c r="D464" s="1">
        <v>45666</v>
      </c>
    </row>
    <row r="465" spans="1:4" x14ac:dyDescent="0.3">
      <c r="A465">
        <v>537</v>
      </c>
      <c r="B465">
        <v>43</v>
      </c>
      <c r="C465">
        <v>16</v>
      </c>
      <c r="D465" s="1">
        <v>45544</v>
      </c>
    </row>
    <row r="466" spans="1:4" x14ac:dyDescent="0.3">
      <c r="A466">
        <v>538</v>
      </c>
      <c r="B466">
        <v>143</v>
      </c>
      <c r="C466">
        <v>2</v>
      </c>
      <c r="D466" s="1">
        <v>45402</v>
      </c>
    </row>
    <row r="467" spans="1:4" x14ac:dyDescent="0.3">
      <c r="A467">
        <v>539</v>
      </c>
      <c r="B467">
        <v>36</v>
      </c>
      <c r="C467">
        <v>9</v>
      </c>
      <c r="D467" s="1">
        <v>45444</v>
      </c>
    </row>
    <row r="468" spans="1:4" x14ac:dyDescent="0.3">
      <c r="A468">
        <v>540</v>
      </c>
      <c r="B468">
        <v>122</v>
      </c>
      <c r="C468">
        <v>5</v>
      </c>
      <c r="D468" s="1">
        <v>45623</v>
      </c>
    </row>
    <row r="469" spans="1:4" x14ac:dyDescent="0.3">
      <c r="A469">
        <v>541</v>
      </c>
      <c r="B469">
        <v>83</v>
      </c>
      <c r="C469">
        <v>7</v>
      </c>
      <c r="D469" s="1">
        <v>45515</v>
      </c>
    </row>
    <row r="470" spans="1:4" x14ac:dyDescent="0.3">
      <c r="A470">
        <v>542</v>
      </c>
      <c r="B470">
        <v>129</v>
      </c>
      <c r="C470">
        <v>19</v>
      </c>
      <c r="D470" s="1">
        <v>45434</v>
      </c>
    </row>
    <row r="471" spans="1:4" x14ac:dyDescent="0.3">
      <c r="A471">
        <v>545</v>
      </c>
      <c r="B471">
        <v>114</v>
      </c>
      <c r="C471">
        <v>16</v>
      </c>
      <c r="D471" s="1">
        <v>45424</v>
      </c>
    </row>
    <row r="472" spans="1:4" x14ac:dyDescent="0.3">
      <c r="A472">
        <v>546</v>
      </c>
      <c r="B472">
        <v>99</v>
      </c>
      <c r="C472">
        <v>2</v>
      </c>
      <c r="D472" s="1">
        <v>45661</v>
      </c>
    </row>
    <row r="473" spans="1:4" x14ac:dyDescent="0.3">
      <c r="A473">
        <v>547</v>
      </c>
      <c r="B473">
        <v>82</v>
      </c>
      <c r="C473">
        <v>2</v>
      </c>
      <c r="D473" s="1">
        <v>45339</v>
      </c>
    </row>
    <row r="474" spans="1:4" x14ac:dyDescent="0.3">
      <c r="A474">
        <v>548</v>
      </c>
      <c r="B474">
        <v>11</v>
      </c>
      <c r="C474">
        <v>14</v>
      </c>
      <c r="D474" s="1">
        <v>45559</v>
      </c>
    </row>
    <row r="475" spans="1:4" x14ac:dyDescent="0.3">
      <c r="A475">
        <v>549</v>
      </c>
      <c r="B475">
        <v>83</v>
      </c>
      <c r="C475">
        <v>5</v>
      </c>
      <c r="D475" s="1">
        <v>45347</v>
      </c>
    </row>
    <row r="476" spans="1:4" x14ac:dyDescent="0.3">
      <c r="A476">
        <v>550</v>
      </c>
      <c r="B476">
        <v>91</v>
      </c>
      <c r="C476">
        <v>17</v>
      </c>
      <c r="D476" s="1">
        <v>45297</v>
      </c>
    </row>
    <row r="477" spans="1:4" x14ac:dyDescent="0.3">
      <c r="A477">
        <v>551</v>
      </c>
      <c r="B477">
        <v>62</v>
      </c>
      <c r="C477">
        <v>17</v>
      </c>
      <c r="D477" s="1">
        <v>45514</v>
      </c>
    </row>
    <row r="478" spans="1:4" x14ac:dyDescent="0.3">
      <c r="A478">
        <v>552</v>
      </c>
      <c r="B478">
        <v>5</v>
      </c>
      <c r="C478">
        <v>15</v>
      </c>
      <c r="D478" s="1">
        <v>45334</v>
      </c>
    </row>
    <row r="479" spans="1:4" x14ac:dyDescent="0.3">
      <c r="A479">
        <v>553</v>
      </c>
      <c r="B479">
        <v>72</v>
      </c>
      <c r="C479">
        <v>20</v>
      </c>
      <c r="D479" s="1">
        <v>45305</v>
      </c>
    </row>
    <row r="480" spans="1:4" x14ac:dyDescent="0.3">
      <c r="A480">
        <v>554</v>
      </c>
      <c r="B480">
        <v>110</v>
      </c>
      <c r="C480">
        <v>10</v>
      </c>
      <c r="D480" s="1">
        <v>45399</v>
      </c>
    </row>
    <row r="481" spans="1:4" x14ac:dyDescent="0.3">
      <c r="A481">
        <v>555</v>
      </c>
      <c r="B481">
        <v>10</v>
      </c>
      <c r="C481">
        <v>16</v>
      </c>
      <c r="D481" s="1">
        <v>45614</v>
      </c>
    </row>
    <row r="482" spans="1:4" x14ac:dyDescent="0.3">
      <c r="A482">
        <v>556</v>
      </c>
      <c r="B482">
        <v>139</v>
      </c>
      <c r="C482">
        <v>4</v>
      </c>
      <c r="D482" s="1">
        <v>45491</v>
      </c>
    </row>
    <row r="483" spans="1:4" x14ac:dyDescent="0.3">
      <c r="A483">
        <v>557</v>
      </c>
      <c r="B483">
        <v>13</v>
      </c>
      <c r="C483">
        <v>8</v>
      </c>
      <c r="D483" s="1">
        <v>45486</v>
      </c>
    </row>
    <row r="484" spans="1:4" x14ac:dyDescent="0.3">
      <c r="A484">
        <v>558</v>
      </c>
      <c r="B484">
        <v>148</v>
      </c>
      <c r="C484">
        <v>16</v>
      </c>
      <c r="D484" s="1">
        <v>45462</v>
      </c>
    </row>
    <row r="485" spans="1:4" x14ac:dyDescent="0.3">
      <c r="A485">
        <v>559</v>
      </c>
      <c r="B485">
        <v>131</v>
      </c>
      <c r="C485">
        <v>3</v>
      </c>
      <c r="D485" s="1">
        <v>45599</v>
      </c>
    </row>
    <row r="486" spans="1:4" x14ac:dyDescent="0.3">
      <c r="A486">
        <v>560</v>
      </c>
      <c r="B486">
        <v>104</v>
      </c>
      <c r="C486">
        <v>6</v>
      </c>
      <c r="D486" s="1">
        <v>45464</v>
      </c>
    </row>
    <row r="487" spans="1:4" x14ac:dyDescent="0.3">
      <c r="A487">
        <v>561</v>
      </c>
      <c r="B487">
        <v>133</v>
      </c>
      <c r="C487">
        <v>16</v>
      </c>
      <c r="D487" s="1">
        <v>45691</v>
      </c>
    </row>
    <row r="488" spans="1:4" x14ac:dyDescent="0.3">
      <c r="A488">
        <v>562</v>
      </c>
      <c r="B488">
        <v>108</v>
      </c>
      <c r="C488">
        <v>13</v>
      </c>
      <c r="D488" s="1">
        <v>45328</v>
      </c>
    </row>
    <row r="489" spans="1:4" x14ac:dyDescent="0.3">
      <c r="A489">
        <v>563</v>
      </c>
      <c r="B489">
        <v>1</v>
      </c>
      <c r="C489">
        <v>10</v>
      </c>
      <c r="D489" s="1">
        <v>45403</v>
      </c>
    </row>
    <row r="490" spans="1:4" x14ac:dyDescent="0.3">
      <c r="A490">
        <v>564</v>
      </c>
      <c r="B490">
        <v>22</v>
      </c>
      <c r="C490">
        <v>6</v>
      </c>
      <c r="D490" s="1">
        <v>45308</v>
      </c>
    </row>
    <row r="491" spans="1:4" x14ac:dyDescent="0.3">
      <c r="A491">
        <v>565</v>
      </c>
      <c r="B491">
        <v>115</v>
      </c>
      <c r="C491">
        <v>14</v>
      </c>
      <c r="D491" s="1">
        <v>45608</v>
      </c>
    </row>
    <row r="492" spans="1:4" x14ac:dyDescent="0.3">
      <c r="A492">
        <v>566</v>
      </c>
      <c r="B492">
        <v>14</v>
      </c>
      <c r="C492">
        <v>16</v>
      </c>
      <c r="D492" s="1">
        <v>45448</v>
      </c>
    </row>
    <row r="493" spans="1:4" x14ac:dyDescent="0.3">
      <c r="A493">
        <v>567</v>
      </c>
      <c r="B493">
        <v>141</v>
      </c>
      <c r="C493">
        <v>7</v>
      </c>
      <c r="D493" s="1">
        <v>45381</v>
      </c>
    </row>
    <row r="494" spans="1:4" x14ac:dyDescent="0.3">
      <c r="A494">
        <v>568</v>
      </c>
      <c r="B494">
        <v>103</v>
      </c>
      <c r="C494">
        <v>18</v>
      </c>
      <c r="D494" s="1">
        <v>45356</v>
      </c>
    </row>
    <row r="495" spans="1:4" x14ac:dyDescent="0.3">
      <c r="A495">
        <v>570</v>
      </c>
      <c r="B495">
        <v>25</v>
      </c>
      <c r="C495">
        <v>9</v>
      </c>
      <c r="D495" s="1">
        <v>45664</v>
      </c>
    </row>
    <row r="496" spans="1:4" x14ac:dyDescent="0.3">
      <c r="A496">
        <v>571</v>
      </c>
      <c r="B496">
        <v>52</v>
      </c>
      <c r="C496">
        <v>3</v>
      </c>
      <c r="D496" s="1">
        <v>45374</v>
      </c>
    </row>
    <row r="497" spans="1:4" x14ac:dyDescent="0.3">
      <c r="A497">
        <v>572</v>
      </c>
      <c r="B497">
        <v>148</v>
      </c>
      <c r="C497">
        <v>13</v>
      </c>
      <c r="D497" s="1">
        <v>45381</v>
      </c>
    </row>
    <row r="498" spans="1:4" x14ac:dyDescent="0.3">
      <c r="A498">
        <v>573</v>
      </c>
      <c r="B498">
        <v>6</v>
      </c>
      <c r="C498">
        <v>8</v>
      </c>
      <c r="D498" s="1">
        <v>45563</v>
      </c>
    </row>
    <row r="499" spans="1:4" x14ac:dyDescent="0.3">
      <c r="A499">
        <v>574</v>
      </c>
      <c r="B499">
        <v>2</v>
      </c>
      <c r="C499">
        <v>17</v>
      </c>
      <c r="D499" s="1">
        <v>45499</v>
      </c>
    </row>
    <row r="500" spans="1:4" x14ac:dyDescent="0.3">
      <c r="A500">
        <v>575</v>
      </c>
      <c r="B500">
        <v>45</v>
      </c>
      <c r="C500">
        <v>2</v>
      </c>
      <c r="D500" s="1">
        <v>45504</v>
      </c>
    </row>
    <row r="501" spans="1:4" x14ac:dyDescent="0.3">
      <c r="A501">
        <v>576</v>
      </c>
      <c r="B501">
        <v>102</v>
      </c>
      <c r="C501">
        <v>14</v>
      </c>
      <c r="D501" s="1">
        <v>45670</v>
      </c>
    </row>
    <row r="502" spans="1:4" x14ac:dyDescent="0.3">
      <c r="A502">
        <v>577</v>
      </c>
      <c r="B502">
        <v>24</v>
      </c>
      <c r="C502">
        <v>20</v>
      </c>
      <c r="D502" s="1">
        <v>45389</v>
      </c>
    </row>
    <row r="503" spans="1:4" x14ac:dyDescent="0.3">
      <c r="A503">
        <v>579</v>
      </c>
      <c r="B503">
        <v>66</v>
      </c>
      <c r="C503">
        <v>13</v>
      </c>
      <c r="D503" s="1">
        <v>45390</v>
      </c>
    </row>
    <row r="504" spans="1:4" x14ac:dyDescent="0.3">
      <c r="A504">
        <v>580</v>
      </c>
      <c r="B504">
        <v>66</v>
      </c>
      <c r="C504">
        <v>5</v>
      </c>
      <c r="D504" s="1">
        <v>45418</v>
      </c>
    </row>
    <row r="505" spans="1:4" x14ac:dyDescent="0.3">
      <c r="A505">
        <v>581</v>
      </c>
      <c r="B505">
        <v>93</v>
      </c>
      <c r="C505">
        <v>19</v>
      </c>
      <c r="D505" s="1">
        <v>45656</v>
      </c>
    </row>
    <row r="506" spans="1:4" x14ac:dyDescent="0.3">
      <c r="A506">
        <v>582</v>
      </c>
      <c r="B506">
        <v>57</v>
      </c>
      <c r="C506">
        <v>7</v>
      </c>
      <c r="D506" s="1">
        <v>45663</v>
      </c>
    </row>
    <row r="507" spans="1:4" x14ac:dyDescent="0.3">
      <c r="A507">
        <v>583</v>
      </c>
      <c r="B507">
        <v>27</v>
      </c>
      <c r="C507">
        <v>7</v>
      </c>
      <c r="D507" s="1">
        <v>45566</v>
      </c>
    </row>
    <row r="508" spans="1:4" x14ac:dyDescent="0.3">
      <c r="A508">
        <v>584</v>
      </c>
      <c r="B508">
        <v>83</v>
      </c>
      <c r="C508">
        <v>8</v>
      </c>
      <c r="D508" s="1">
        <v>45433</v>
      </c>
    </row>
    <row r="509" spans="1:4" x14ac:dyDescent="0.3">
      <c r="A509">
        <v>585</v>
      </c>
      <c r="B509">
        <v>9</v>
      </c>
      <c r="C509">
        <v>20</v>
      </c>
      <c r="D509" s="1">
        <v>45375</v>
      </c>
    </row>
    <row r="510" spans="1:4" x14ac:dyDescent="0.3">
      <c r="A510">
        <v>586</v>
      </c>
      <c r="B510">
        <v>66</v>
      </c>
      <c r="C510">
        <v>7</v>
      </c>
      <c r="D510" s="1">
        <v>45404</v>
      </c>
    </row>
    <row r="511" spans="1:4" x14ac:dyDescent="0.3">
      <c r="A511">
        <v>587</v>
      </c>
      <c r="B511">
        <v>11</v>
      </c>
      <c r="C511">
        <v>2</v>
      </c>
      <c r="D511" s="1">
        <v>45617</v>
      </c>
    </row>
    <row r="512" spans="1:4" x14ac:dyDescent="0.3">
      <c r="A512">
        <v>588</v>
      </c>
      <c r="B512">
        <v>112</v>
      </c>
      <c r="C512">
        <v>10</v>
      </c>
      <c r="D512" s="1">
        <v>45370</v>
      </c>
    </row>
    <row r="513" spans="1:4" x14ac:dyDescent="0.3">
      <c r="A513">
        <v>589</v>
      </c>
      <c r="B513">
        <v>92</v>
      </c>
      <c r="C513">
        <v>20</v>
      </c>
      <c r="D513" s="1">
        <v>45479</v>
      </c>
    </row>
    <row r="514" spans="1:4" x14ac:dyDescent="0.3">
      <c r="A514">
        <v>590</v>
      </c>
      <c r="B514">
        <v>72</v>
      </c>
      <c r="C514">
        <v>9</v>
      </c>
      <c r="D514" s="1">
        <v>45393</v>
      </c>
    </row>
    <row r="515" spans="1:4" x14ac:dyDescent="0.3">
      <c r="A515">
        <v>591</v>
      </c>
      <c r="B515">
        <v>149</v>
      </c>
      <c r="C515">
        <v>12</v>
      </c>
      <c r="D515" s="1">
        <v>45539</v>
      </c>
    </row>
    <row r="516" spans="1:4" x14ac:dyDescent="0.3">
      <c r="A516">
        <v>592</v>
      </c>
      <c r="B516">
        <v>19</v>
      </c>
      <c r="C516">
        <v>9</v>
      </c>
      <c r="D516" s="1">
        <v>45364</v>
      </c>
    </row>
    <row r="517" spans="1:4" x14ac:dyDescent="0.3">
      <c r="A517">
        <v>593</v>
      </c>
      <c r="B517">
        <v>54</v>
      </c>
      <c r="C517">
        <v>15</v>
      </c>
      <c r="D517" s="1">
        <v>45330</v>
      </c>
    </row>
    <row r="518" spans="1:4" x14ac:dyDescent="0.3">
      <c r="A518">
        <v>594</v>
      </c>
      <c r="B518">
        <v>87</v>
      </c>
      <c r="C518">
        <v>1</v>
      </c>
      <c r="D518" s="1">
        <v>45449</v>
      </c>
    </row>
    <row r="519" spans="1:4" x14ac:dyDescent="0.3">
      <c r="A519">
        <v>596</v>
      </c>
      <c r="B519">
        <v>94</v>
      </c>
      <c r="C519">
        <v>20</v>
      </c>
      <c r="D519" s="1">
        <v>45512</v>
      </c>
    </row>
    <row r="520" spans="1:4" x14ac:dyDescent="0.3">
      <c r="A520">
        <v>597</v>
      </c>
      <c r="B520">
        <v>50</v>
      </c>
      <c r="C520">
        <v>14</v>
      </c>
      <c r="D520" s="1">
        <v>45660</v>
      </c>
    </row>
    <row r="521" spans="1:4" x14ac:dyDescent="0.3">
      <c r="A521">
        <v>598</v>
      </c>
      <c r="B521">
        <v>25</v>
      </c>
      <c r="C521">
        <v>3</v>
      </c>
      <c r="D521" s="1">
        <v>45492</v>
      </c>
    </row>
    <row r="522" spans="1:4" x14ac:dyDescent="0.3">
      <c r="A522">
        <v>599</v>
      </c>
      <c r="B522">
        <v>87</v>
      </c>
      <c r="C522">
        <v>12</v>
      </c>
      <c r="D522" s="1">
        <v>45664</v>
      </c>
    </row>
    <row r="523" spans="1:4" x14ac:dyDescent="0.3">
      <c r="A523">
        <v>600</v>
      </c>
      <c r="B523">
        <v>98</v>
      </c>
      <c r="C523">
        <v>4</v>
      </c>
      <c r="D523" s="1">
        <v>45583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DCDFA-BF8A-4646-9993-FB0110D063FB}">
  <dimension ref="A1:E21"/>
  <sheetViews>
    <sheetView workbookViewId="0"/>
  </sheetViews>
  <sheetFormatPr defaultRowHeight="14.4" x14ac:dyDescent="0.3"/>
  <cols>
    <col min="1" max="1" width="9.6640625" bestFit="1" customWidth="1"/>
    <col min="2" max="2" width="16.44140625" bestFit="1" customWidth="1"/>
    <col min="3" max="3" width="11.33203125" bestFit="1" customWidth="1"/>
    <col min="4" max="4" width="18.33203125" bestFit="1" customWidth="1"/>
    <col min="5" max="5" width="11.5546875" bestFit="1" customWidth="1"/>
  </cols>
  <sheetData>
    <row r="1" spans="1:5" x14ac:dyDescent="0.3">
      <c r="A1" t="s">
        <v>134</v>
      </c>
      <c r="B1" t="s">
        <v>135</v>
      </c>
      <c r="C1" t="s">
        <v>110</v>
      </c>
      <c r="D1" t="s">
        <v>136</v>
      </c>
      <c r="E1" t="s">
        <v>137</v>
      </c>
    </row>
    <row r="2" spans="1:5" x14ac:dyDescent="0.3">
      <c r="A2">
        <v>1</v>
      </c>
      <c r="B2" t="s">
        <v>131</v>
      </c>
      <c r="C2">
        <v>7</v>
      </c>
      <c r="D2">
        <v>45</v>
      </c>
      <c r="E2" t="s">
        <v>138</v>
      </c>
    </row>
    <row r="3" spans="1:5" x14ac:dyDescent="0.3">
      <c r="A3">
        <v>2</v>
      </c>
      <c r="B3" t="s">
        <v>115</v>
      </c>
      <c r="C3">
        <v>7</v>
      </c>
      <c r="D3">
        <v>50</v>
      </c>
      <c r="E3" t="s">
        <v>138</v>
      </c>
    </row>
    <row r="4" spans="1:5" x14ac:dyDescent="0.3">
      <c r="A4">
        <v>3</v>
      </c>
      <c r="B4" t="s">
        <v>121</v>
      </c>
      <c r="C4">
        <v>6</v>
      </c>
      <c r="D4">
        <v>50</v>
      </c>
      <c r="E4" t="s">
        <v>139</v>
      </c>
    </row>
    <row r="5" spans="1:5" x14ac:dyDescent="0.3">
      <c r="A5">
        <v>4</v>
      </c>
      <c r="B5" t="s">
        <v>131</v>
      </c>
      <c r="C5">
        <v>9</v>
      </c>
      <c r="D5">
        <v>50</v>
      </c>
      <c r="E5" t="s">
        <v>139</v>
      </c>
    </row>
    <row r="6" spans="1:5" x14ac:dyDescent="0.3">
      <c r="A6">
        <v>5</v>
      </c>
      <c r="B6" t="s">
        <v>127</v>
      </c>
      <c r="C6">
        <v>10</v>
      </c>
      <c r="D6">
        <v>45</v>
      </c>
      <c r="E6" t="s">
        <v>138</v>
      </c>
    </row>
    <row r="7" spans="1:5" x14ac:dyDescent="0.3">
      <c r="A7">
        <v>6</v>
      </c>
      <c r="B7" t="s">
        <v>115</v>
      </c>
      <c r="C7">
        <v>7</v>
      </c>
      <c r="D7">
        <v>50</v>
      </c>
      <c r="E7" t="s">
        <v>139</v>
      </c>
    </row>
    <row r="8" spans="1:5" x14ac:dyDescent="0.3">
      <c r="A8">
        <v>7</v>
      </c>
      <c r="B8" t="s">
        <v>131</v>
      </c>
      <c r="C8">
        <v>4</v>
      </c>
      <c r="D8">
        <v>80</v>
      </c>
      <c r="E8" t="s">
        <v>138</v>
      </c>
    </row>
    <row r="9" spans="1:5" x14ac:dyDescent="0.3">
      <c r="A9">
        <v>8</v>
      </c>
      <c r="B9" t="s">
        <v>140</v>
      </c>
      <c r="C9">
        <v>9</v>
      </c>
      <c r="D9">
        <v>45</v>
      </c>
      <c r="E9" t="s">
        <v>139</v>
      </c>
    </row>
    <row r="10" spans="1:5" x14ac:dyDescent="0.3">
      <c r="A10">
        <v>9</v>
      </c>
      <c r="B10" t="s">
        <v>127</v>
      </c>
      <c r="C10">
        <v>8</v>
      </c>
      <c r="D10">
        <v>45</v>
      </c>
      <c r="E10" t="s">
        <v>138</v>
      </c>
    </row>
    <row r="11" spans="1:5" x14ac:dyDescent="0.3">
      <c r="A11">
        <v>10</v>
      </c>
      <c r="B11" t="s">
        <v>117</v>
      </c>
      <c r="C11">
        <v>7</v>
      </c>
      <c r="D11">
        <v>45</v>
      </c>
      <c r="E11" t="s">
        <v>138</v>
      </c>
    </row>
    <row r="12" spans="1:5" x14ac:dyDescent="0.3">
      <c r="A12">
        <v>11</v>
      </c>
      <c r="B12" t="s">
        <v>119</v>
      </c>
      <c r="C12">
        <v>8</v>
      </c>
      <c r="D12">
        <v>45</v>
      </c>
      <c r="E12" t="s">
        <v>138</v>
      </c>
    </row>
    <row r="13" spans="1:5" x14ac:dyDescent="0.3">
      <c r="A13">
        <v>12</v>
      </c>
      <c r="B13" t="s">
        <v>115</v>
      </c>
      <c r="C13">
        <v>1</v>
      </c>
      <c r="D13">
        <v>45</v>
      </c>
      <c r="E13" t="s">
        <v>141</v>
      </c>
    </row>
    <row r="14" spans="1:5" x14ac:dyDescent="0.3">
      <c r="A14">
        <v>13</v>
      </c>
      <c r="B14" t="s">
        <v>142</v>
      </c>
      <c r="C14">
        <v>5</v>
      </c>
      <c r="D14">
        <v>70</v>
      </c>
      <c r="E14" t="s">
        <v>139</v>
      </c>
    </row>
    <row r="15" spans="1:5" x14ac:dyDescent="0.3">
      <c r="A15">
        <v>14</v>
      </c>
      <c r="B15" t="s">
        <v>140</v>
      </c>
      <c r="C15">
        <v>3</v>
      </c>
      <c r="D15">
        <v>80</v>
      </c>
      <c r="E15" t="s">
        <v>138</v>
      </c>
    </row>
    <row r="16" spans="1:5" x14ac:dyDescent="0.3">
      <c r="A16">
        <v>15</v>
      </c>
      <c r="B16" t="s">
        <v>125</v>
      </c>
      <c r="C16">
        <v>9</v>
      </c>
      <c r="D16">
        <v>70</v>
      </c>
      <c r="E16" t="s">
        <v>138</v>
      </c>
    </row>
    <row r="17" spans="1:5" x14ac:dyDescent="0.3">
      <c r="A17">
        <v>16</v>
      </c>
      <c r="B17" t="s">
        <v>127</v>
      </c>
      <c r="C17">
        <v>9</v>
      </c>
      <c r="D17">
        <v>50</v>
      </c>
      <c r="E17" t="s">
        <v>138</v>
      </c>
    </row>
    <row r="18" spans="1:5" x14ac:dyDescent="0.3">
      <c r="A18">
        <v>17</v>
      </c>
      <c r="B18" t="s">
        <v>127</v>
      </c>
      <c r="C18">
        <v>7</v>
      </c>
      <c r="D18">
        <v>50</v>
      </c>
      <c r="E18" t="s">
        <v>141</v>
      </c>
    </row>
    <row r="19" spans="1:5" x14ac:dyDescent="0.3">
      <c r="A19">
        <v>18</v>
      </c>
      <c r="B19" t="s">
        <v>123</v>
      </c>
      <c r="C19">
        <v>6</v>
      </c>
      <c r="D19">
        <v>50</v>
      </c>
      <c r="E19" t="s">
        <v>141</v>
      </c>
    </row>
    <row r="20" spans="1:5" x14ac:dyDescent="0.3">
      <c r="A20">
        <v>19</v>
      </c>
      <c r="B20" t="s">
        <v>140</v>
      </c>
      <c r="C20">
        <v>5</v>
      </c>
      <c r="D20">
        <v>50</v>
      </c>
      <c r="E20" t="s">
        <v>138</v>
      </c>
    </row>
    <row r="21" spans="1:5" x14ac:dyDescent="0.3">
      <c r="A21">
        <v>20</v>
      </c>
      <c r="B21" t="s">
        <v>140</v>
      </c>
      <c r="C21">
        <v>2</v>
      </c>
      <c r="D21">
        <v>60</v>
      </c>
      <c r="E21" t="s">
        <v>141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456D-0C10-45F7-8EA8-DD3ECCDBD998}">
  <dimension ref="A1:H130"/>
  <sheetViews>
    <sheetView workbookViewId="0"/>
  </sheetViews>
  <sheetFormatPr defaultRowHeight="14.4" x14ac:dyDescent="0.3"/>
  <cols>
    <col min="1" max="1" width="12.88671875" bestFit="1" customWidth="1"/>
    <col min="2" max="2" width="13.77734375" bestFit="1" customWidth="1"/>
    <col min="3" max="3" width="9.109375" bestFit="1" customWidth="1"/>
    <col min="4" max="4" width="6.21875" bestFit="1" customWidth="1"/>
    <col min="5" max="5" width="9.44140625" bestFit="1" customWidth="1"/>
    <col min="6" max="6" width="11.21875" bestFit="1" customWidth="1"/>
    <col min="7" max="7" width="18.6640625" bestFit="1" customWidth="1"/>
    <col min="8" max="8" width="20" bestFit="1" customWidth="1"/>
  </cols>
  <sheetData>
    <row r="1" spans="1:8" x14ac:dyDescent="0.3">
      <c r="A1" t="s">
        <v>0</v>
      </c>
      <c r="B1" t="s">
        <v>1</v>
      </c>
      <c r="C1" t="s">
        <v>2</v>
      </c>
      <c r="D1" t="s">
        <v>3</v>
      </c>
      <c r="E1" t="s">
        <v>4</v>
      </c>
      <c r="F1" t="s">
        <v>5</v>
      </c>
      <c r="G1" t="s">
        <v>6</v>
      </c>
      <c r="H1" t="s">
        <v>7</v>
      </c>
    </row>
    <row r="2" spans="1:8" x14ac:dyDescent="0.3">
      <c r="A2">
        <v>2</v>
      </c>
      <c r="B2" t="s">
        <v>8</v>
      </c>
      <c r="C2" t="s">
        <v>9</v>
      </c>
      <c r="D2">
        <v>45</v>
      </c>
      <c r="E2" t="s">
        <v>10</v>
      </c>
      <c r="F2" s="1">
        <v>44956</v>
      </c>
      <c r="G2" t="s">
        <v>11</v>
      </c>
      <c r="H2" t="s">
        <v>12</v>
      </c>
    </row>
    <row r="3" spans="1:8" x14ac:dyDescent="0.3">
      <c r="A3">
        <v>3</v>
      </c>
      <c r="B3" t="s">
        <v>13</v>
      </c>
      <c r="C3" t="s">
        <v>9</v>
      </c>
      <c r="D3">
        <v>19</v>
      </c>
      <c r="E3" t="s">
        <v>14</v>
      </c>
      <c r="F3" s="1">
        <v>45532</v>
      </c>
      <c r="G3" t="s">
        <v>11</v>
      </c>
      <c r="H3" t="s">
        <v>15</v>
      </c>
    </row>
    <row r="4" spans="1:8" x14ac:dyDescent="0.3">
      <c r="A4">
        <v>4</v>
      </c>
      <c r="B4" t="s">
        <v>16</v>
      </c>
      <c r="C4" t="s">
        <v>17</v>
      </c>
      <c r="D4">
        <v>46</v>
      </c>
      <c r="E4" t="s">
        <v>18</v>
      </c>
      <c r="F4" s="1">
        <v>45359</v>
      </c>
      <c r="G4" t="s">
        <v>19</v>
      </c>
      <c r="H4" t="s">
        <v>12</v>
      </c>
    </row>
    <row r="5" spans="1:8" x14ac:dyDescent="0.3">
      <c r="A5">
        <v>5</v>
      </c>
      <c r="B5" t="s">
        <v>20</v>
      </c>
      <c r="C5" t="s">
        <v>17</v>
      </c>
      <c r="D5">
        <v>44</v>
      </c>
      <c r="E5" t="s">
        <v>10</v>
      </c>
      <c r="F5" s="1">
        <v>45397</v>
      </c>
      <c r="G5" t="s">
        <v>11</v>
      </c>
      <c r="H5" t="s">
        <v>15</v>
      </c>
    </row>
    <row r="6" spans="1:8" x14ac:dyDescent="0.3">
      <c r="A6">
        <v>8</v>
      </c>
      <c r="B6" t="s">
        <v>21</v>
      </c>
      <c r="C6" t="s">
        <v>9</v>
      </c>
      <c r="D6">
        <v>23</v>
      </c>
      <c r="E6" t="s">
        <v>18</v>
      </c>
      <c r="F6" s="1">
        <v>45488</v>
      </c>
      <c r="G6" t="s">
        <v>11</v>
      </c>
      <c r="H6" t="s">
        <v>15</v>
      </c>
    </row>
    <row r="7" spans="1:8" x14ac:dyDescent="0.3">
      <c r="A7">
        <v>11</v>
      </c>
      <c r="B7" t="s">
        <v>22</v>
      </c>
      <c r="C7" t="s">
        <v>17</v>
      </c>
      <c r="D7">
        <v>42</v>
      </c>
      <c r="E7" t="s">
        <v>10</v>
      </c>
      <c r="F7" s="1">
        <v>45602</v>
      </c>
      <c r="G7" t="s">
        <v>19</v>
      </c>
      <c r="H7" t="s">
        <v>15</v>
      </c>
    </row>
    <row r="8" spans="1:8" x14ac:dyDescent="0.3">
      <c r="A8">
        <v>13</v>
      </c>
      <c r="B8" t="s">
        <v>23</v>
      </c>
      <c r="C8" t="s">
        <v>9</v>
      </c>
      <c r="D8">
        <v>47</v>
      </c>
      <c r="E8" t="s">
        <v>10</v>
      </c>
      <c r="F8" s="1">
        <v>44928</v>
      </c>
      <c r="G8" t="s">
        <v>11</v>
      </c>
      <c r="H8" t="s">
        <v>15</v>
      </c>
    </row>
    <row r="9" spans="1:8" x14ac:dyDescent="0.3">
      <c r="A9">
        <v>14</v>
      </c>
      <c r="B9" t="s">
        <v>24</v>
      </c>
      <c r="C9" t="s">
        <v>17</v>
      </c>
      <c r="D9">
        <v>34</v>
      </c>
      <c r="E9" t="s">
        <v>14</v>
      </c>
      <c r="F9" s="1">
        <v>45525</v>
      </c>
      <c r="G9" t="s">
        <v>11</v>
      </c>
      <c r="H9" t="s">
        <v>15</v>
      </c>
    </row>
    <row r="10" spans="1:8" x14ac:dyDescent="0.3">
      <c r="A10">
        <v>15</v>
      </c>
      <c r="B10" t="s">
        <v>25</v>
      </c>
      <c r="C10" t="s">
        <v>9</v>
      </c>
      <c r="D10">
        <v>33</v>
      </c>
      <c r="E10" t="s">
        <v>26</v>
      </c>
      <c r="F10" s="1">
        <v>44941</v>
      </c>
      <c r="G10" t="s">
        <v>11</v>
      </c>
      <c r="H10" t="s">
        <v>15</v>
      </c>
    </row>
    <row r="11" spans="1:8" x14ac:dyDescent="0.3">
      <c r="A11">
        <v>18</v>
      </c>
      <c r="B11" t="s">
        <v>27</v>
      </c>
      <c r="C11" t="s">
        <v>17</v>
      </c>
      <c r="D11">
        <v>45</v>
      </c>
      <c r="E11" t="s">
        <v>14</v>
      </c>
      <c r="F11" s="1">
        <v>45186</v>
      </c>
      <c r="G11" t="s">
        <v>19</v>
      </c>
      <c r="H11" t="s">
        <v>15</v>
      </c>
    </row>
    <row r="12" spans="1:8" x14ac:dyDescent="0.3">
      <c r="A12">
        <v>20</v>
      </c>
      <c r="B12" t="s">
        <v>28</v>
      </c>
      <c r="C12" t="s">
        <v>9</v>
      </c>
      <c r="D12">
        <v>38</v>
      </c>
      <c r="E12" t="s">
        <v>18</v>
      </c>
      <c r="F12" s="1">
        <v>45463</v>
      </c>
      <c r="G12" t="s">
        <v>11</v>
      </c>
      <c r="H12" t="s">
        <v>12</v>
      </c>
    </row>
    <row r="13" spans="1:8" x14ac:dyDescent="0.3">
      <c r="A13">
        <v>21</v>
      </c>
      <c r="B13" t="s">
        <v>29</v>
      </c>
      <c r="C13" t="s">
        <v>17</v>
      </c>
      <c r="D13">
        <v>37</v>
      </c>
      <c r="E13" t="s">
        <v>26</v>
      </c>
      <c r="F13" s="1">
        <v>44975</v>
      </c>
      <c r="G13" t="s">
        <v>19</v>
      </c>
      <c r="H13" t="s">
        <v>12</v>
      </c>
    </row>
    <row r="14" spans="1:8" x14ac:dyDescent="0.3">
      <c r="A14">
        <v>23</v>
      </c>
      <c r="B14" t="s">
        <v>30</v>
      </c>
      <c r="C14" t="s">
        <v>17</v>
      </c>
      <c r="D14">
        <v>45</v>
      </c>
      <c r="E14" t="s">
        <v>10</v>
      </c>
      <c r="F14" s="1">
        <v>45132</v>
      </c>
      <c r="G14" t="s">
        <v>19</v>
      </c>
      <c r="H14" t="s">
        <v>12</v>
      </c>
    </row>
    <row r="15" spans="1:8" x14ac:dyDescent="0.3">
      <c r="A15">
        <v>25</v>
      </c>
      <c r="B15" t="s">
        <v>31</v>
      </c>
      <c r="C15" t="s">
        <v>17</v>
      </c>
      <c r="D15">
        <v>39</v>
      </c>
      <c r="E15" t="s">
        <v>18</v>
      </c>
      <c r="F15" s="1">
        <v>45132</v>
      </c>
      <c r="G15" t="s">
        <v>19</v>
      </c>
      <c r="H15" t="s">
        <v>12</v>
      </c>
    </row>
    <row r="16" spans="1:8" x14ac:dyDescent="0.3">
      <c r="A16">
        <v>26</v>
      </c>
      <c r="B16" t="s">
        <v>32</v>
      </c>
      <c r="C16" t="s">
        <v>9</v>
      </c>
      <c r="D16">
        <v>33</v>
      </c>
      <c r="E16" t="s">
        <v>14</v>
      </c>
      <c r="F16" s="1">
        <v>45487</v>
      </c>
      <c r="G16" t="s">
        <v>11</v>
      </c>
      <c r="H16" t="s">
        <v>15</v>
      </c>
    </row>
    <row r="17" spans="1:8" x14ac:dyDescent="0.3">
      <c r="A17">
        <v>28</v>
      </c>
      <c r="B17" t="s">
        <v>33</v>
      </c>
      <c r="C17" t="s">
        <v>9</v>
      </c>
      <c r="D17">
        <v>26</v>
      </c>
      <c r="E17" t="s">
        <v>10</v>
      </c>
      <c r="F17" s="1">
        <v>45043</v>
      </c>
      <c r="G17" t="s">
        <v>11</v>
      </c>
      <c r="H17" t="s">
        <v>12</v>
      </c>
    </row>
    <row r="18" spans="1:8" x14ac:dyDescent="0.3">
      <c r="A18">
        <v>29</v>
      </c>
      <c r="B18" t="s">
        <v>30</v>
      </c>
      <c r="C18" t="s">
        <v>17</v>
      </c>
      <c r="D18">
        <v>26</v>
      </c>
      <c r="E18" t="s">
        <v>26</v>
      </c>
      <c r="F18" s="1">
        <v>45001</v>
      </c>
      <c r="G18" t="s">
        <v>11</v>
      </c>
      <c r="H18" t="s">
        <v>12</v>
      </c>
    </row>
    <row r="19" spans="1:8" x14ac:dyDescent="0.3">
      <c r="A19">
        <v>36</v>
      </c>
      <c r="B19" t="s">
        <v>13</v>
      </c>
      <c r="C19" t="s">
        <v>9</v>
      </c>
      <c r="D19">
        <v>40</v>
      </c>
      <c r="E19" t="s">
        <v>26</v>
      </c>
      <c r="F19" s="1">
        <v>45559</v>
      </c>
      <c r="G19" t="s">
        <v>19</v>
      </c>
      <c r="H19" t="s">
        <v>15</v>
      </c>
    </row>
    <row r="20" spans="1:8" x14ac:dyDescent="0.3">
      <c r="A20">
        <v>37</v>
      </c>
      <c r="B20" t="s">
        <v>34</v>
      </c>
      <c r="C20" t="s">
        <v>9</v>
      </c>
      <c r="D20">
        <v>23</v>
      </c>
      <c r="E20" t="s">
        <v>18</v>
      </c>
      <c r="F20" s="1">
        <v>45179</v>
      </c>
      <c r="G20" t="s">
        <v>11</v>
      </c>
      <c r="H20" t="s">
        <v>12</v>
      </c>
    </row>
    <row r="21" spans="1:8" x14ac:dyDescent="0.3">
      <c r="A21">
        <v>39</v>
      </c>
      <c r="B21" t="s">
        <v>35</v>
      </c>
      <c r="C21" t="s">
        <v>17</v>
      </c>
      <c r="D21">
        <v>33</v>
      </c>
      <c r="E21" t="s">
        <v>36</v>
      </c>
      <c r="F21" s="1">
        <v>45484</v>
      </c>
      <c r="G21" t="s">
        <v>11</v>
      </c>
      <c r="H21" t="s">
        <v>15</v>
      </c>
    </row>
    <row r="22" spans="1:8" x14ac:dyDescent="0.3">
      <c r="A22">
        <v>40</v>
      </c>
      <c r="B22" t="s">
        <v>37</v>
      </c>
      <c r="C22" t="s">
        <v>17</v>
      </c>
      <c r="D22">
        <v>22</v>
      </c>
      <c r="E22" t="s">
        <v>14</v>
      </c>
      <c r="F22" s="1">
        <v>45201</v>
      </c>
      <c r="G22" t="s">
        <v>11</v>
      </c>
      <c r="H22" t="s">
        <v>12</v>
      </c>
    </row>
    <row r="23" spans="1:8" x14ac:dyDescent="0.3">
      <c r="A23">
        <v>43</v>
      </c>
      <c r="B23" t="s">
        <v>38</v>
      </c>
      <c r="C23" t="s">
        <v>17</v>
      </c>
      <c r="D23">
        <v>38</v>
      </c>
      <c r="E23" t="s">
        <v>10</v>
      </c>
      <c r="F23" s="1">
        <v>45485</v>
      </c>
      <c r="G23" t="s">
        <v>19</v>
      </c>
      <c r="H23" t="s">
        <v>15</v>
      </c>
    </row>
    <row r="24" spans="1:8" x14ac:dyDescent="0.3">
      <c r="A24">
        <v>50</v>
      </c>
      <c r="B24" t="s">
        <v>39</v>
      </c>
      <c r="C24" t="s">
        <v>9</v>
      </c>
      <c r="D24">
        <v>28</v>
      </c>
      <c r="E24" t="s">
        <v>10</v>
      </c>
      <c r="F24" s="1">
        <v>45450</v>
      </c>
      <c r="G24" t="s">
        <v>19</v>
      </c>
      <c r="H24" t="s">
        <v>12</v>
      </c>
    </row>
    <row r="25" spans="1:8" x14ac:dyDescent="0.3">
      <c r="A25">
        <v>57</v>
      </c>
      <c r="B25" t="s">
        <v>40</v>
      </c>
      <c r="C25" t="s">
        <v>17</v>
      </c>
      <c r="D25">
        <v>29</v>
      </c>
      <c r="E25" t="s">
        <v>26</v>
      </c>
      <c r="F25" s="1">
        <v>45175</v>
      </c>
      <c r="G25" t="s">
        <v>19</v>
      </c>
      <c r="H25" t="s">
        <v>15</v>
      </c>
    </row>
    <row r="26" spans="1:8" x14ac:dyDescent="0.3">
      <c r="A26">
        <v>59</v>
      </c>
      <c r="B26" t="s">
        <v>41</v>
      </c>
      <c r="C26" t="s">
        <v>9</v>
      </c>
      <c r="D26">
        <v>31</v>
      </c>
      <c r="E26" t="s">
        <v>26</v>
      </c>
      <c r="F26" s="1">
        <v>45140</v>
      </c>
      <c r="G26" t="s">
        <v>11</v>
      </c>
      <c r="H26" t="s">
        <v>15</v>
      </c>
    </row>
    <row r="27" spans="1:8" x14ac:dyDescent="0.3">
      <c r="A27">
        <v>64</v>
      </c>
      <c r="B27" t="s">
        <v>42</v>
      </c>
      <c r="C27" t="s">
        <v>17</v>
      </c>
      <c r="D27">
        <v>41</v>
      </c>
      <c r="E27" t="s">
        <v>10</v>
      </c>
      <c r="F27" s="1">
        <v>45561</v>
      </c>
      <c r="G27" t="s">
        <v>11</v>
      </c>
      <c r="H27" t="s">
        <v>12</v>
      </c>
    </row>
    <row r="28" spans="1:8" x14ac:dyDescent="0.3">
      <c r="A28">
        <v>66</v>
      </c>
      <c r="B28" t="s">
        <v>43</v>
      </c>
      <c r="C28" t="s">
        <v>9</v>
      </c>
      <c r="D28">
        <v>35</v>
      </c>
      <c r="E28" t="s">
        <v>36</v>
      </c>
      <c r="F28" s="1">
        <v>45575</v>
      </c>
      <c r="G28" t="s">
        <v>11</v>
      </c>
      <c r="H28" t="s">
        <v>15</v>
      </c>
    </row>
    <row r="29" spans="1:8" x14ac:dyDescent="0.3">
      <c r="A29">
        <v>70</v>
      </c>
      <c r="B29" t="s">
        <v>44</v>
      </c>
      <c r="C29" t="s">
        <v>9</v>
      </c>
      <c r="D29">
        <v>35</v>
      </c>
      <c r="E29" t="s">
        <v>14</v>
      </c>
      <c r="F29" s="1">
        <v>45139</v>
      </c>
      <c r="G29" t="s">
        <v>11</v>
      </c>
      <c r="H29" t="s">
        <v>12</v>
      </c>
    </row>
    <row r="30" spans="1:8" x14ac:dyDescent="0.3">
      <c r="A30">
        <v>74</v>
      </c>
      <c r="B30" t="s">
        <v>13</v>
      </c>
      <c r="C30" t="s">
        <v>17</v>
      </c>
      <c r="D30">
        <v>46</v>
      </c>
      <c r="E30" t="s">
        <v>10</v>
      </c>
      <c r="F30" s="1">
        <v>45001</v>
      </c>
      <c r="G30" t="s">
        <v>19</v>
      </c>
      <c r="H30" t="s">
        <v>12</v>
      </c>
    </row>
    <row r="31" spans="1:8" x14ac:dyDescent="0.3">
      <c r="A31">
        <v>76</v>
      </c>
      <c r="B31" t="s">
        <v>45</v>
      </c>
      <c r="C31" t="s">
        <v>9</v>
      </c>
      <c r="D31">
        <v>22</v>
      </c>
      <c r="E31" t="s">
        <v>14</v>
      </c>
      <c r="F31" s="1">
        <v>45138</v>
      </c>
      <c r="G31" t="s">
        <v>19</v>
      </c>
      <c r="H31" t="s">
        <v>12</v>
      </c>
    </row>
    <row r="32" spans="1:8" x14ac:dyDescent="0.3">
      <c r="A32">
        <v>78</v>
      </c>
      <c r="B32" t="s">
        <v>46</v>
      </c>
      <c r="C32" t="s">
        <v>9</v>
      </c>
      <c r="D32">
        <v>39</v>
      </c>
      <c r="E32" t="s">
        <v>26</v>
      </c>
      <c r="F32" s="1">
        <v>45468</v>
      </c>
      <c r="G32" t="s">
        <v>11</v>
      </c>
      <c r="H32" t="s">
        <v>15</v>
      </c>
    </row>
    <row r="33" spans="1:8" x14ac:dyDescent="0.3">
      <c r="A33">
        <v>79</v>
      </c>
      <c r="B33" t="s">
        <v>47</v>
      </c>
      <c r="C33" t="s">
        <v>9</v>
      </c>
      <c r="D33">
        <v>42</v>
      </c>
      <c r="E33" t="s">
        <v>36</v>
      </c>
      <c r="F33" s="1">
        <v>45336</v>
      </c>
      <c r="G33" t="s">
        <v>19</v>
      </c>
      <c r="H33" t="s">
        <v>15</v>
      </c>
    </row>
    <row r="34" spans="1:8" x14ac:dyDescent="0.3">
      <c r="A34">
        <v>83</v>
      </c>
      <c r="B34" t="s">
        <v>48</v>
      </c>
      <c r="C34" t="s">
        <v>17</v>
      </c>
      <c r="D34">
        <v>47</v>
      </c>
      <c r="E34" t="s">
        <v>26</v>
      </c>
      <c r="F34" s="1">
        <v>45315</v>
      </c>
      <c r="G34" t="s">
        <v>11</v>
      </c>
      <c r="H34" t="s">
        <v>15</v>
      </c>
    </row>
    <row r="35" spans="1:8" x14ac:dyDescent="0.3">
      <c r="A35">
        <v>88</v>
      </c>
      <c r="B35" t="s">
        <v>41</v>
      </c>
      <c r="C35" t="s">
        <v>17</v>
      </c>
      <c r="D35">
        <v>34</v>
      </c>
      <c r="E35" t="s">
        <v>36</v>
      </c>
      <c r="F35" s="1">
        <v>45200</v>
      </c>
      <c r="G35" t="s">
        <v>11</v>
      </c>
      <c r="H35" t="s">
        <v>15</v>
      </c>
    </row>
    <row r="36" spans="1:8" x14ac:dyDescent="0.3">
      <c r="A36">
        <v>91</v>
      </c>
      <c r="B36" t="s">
        <v>49</v>
      </c>
      <c r="C36" t="s">
        <v>9</v>
      </c>
      <c r="D36">
        <v>23</v>
      </c>
      <c r="E36" t="s">
        <v>26</v>
      </c>
      <c r="F36" s="1">
        <v>45203</v>
      </c>
      <c r="G36" t="s">
        <v>11</v>
      </c>
      <c r="H36" t="s">
        <v>12</v>
      </c>
    </row>
    <row r="37" spans="1:8" x14ac:dyDescent="0.3">
      <c r="A37">
        <v>6</v>
      </c>
      <c r="B37" t="s">
        <v>50</v>
      </c>
      <c r="C37" t="s">
        <v>9</v>
      </c>
      <c r="D37">
        <v>50</v>
      </c>
      <c r="E37" t="s">
        <v>36</v>
      </c>
      <c r="F37" s="1">
        <v>45267</v>
      </c>
      <c r="G37" t="s">
        <v>11</v>
      </c>
      <c r="H37" t="s">
        <v>12</v>
      </c>
    </row>
    <row r="38" spans="1:8" x14ac:dyDescent="0.3">
      <c r="A38">
        <v>10</v>
      </c>
      <c r="B38" t="s">
        <v>24</v>
      </c>
      <c r="C38" t="s">
        <v>17</v>
      </c>
      <c r="D38">
        <v>32</v>
      </c>
      <c r="E38" t="s">
        <v>18</v>
      </c>
      <c r="F38" s="1">
        <v>45159</v>
      </c>
      <c r="G38" t="s">
        <v>11</v>
      </c>
      <c r="H38" t="s">
        <v>12</v>
      </c>
    </row>
    <row r="39" spans="1:8" x14ac:dyDescent="0.3">
      <c r="A39">
        <v>16</v>
      </c>
      <c r="B39" t="s">
        <v>51</v>
      </c>
      <c r="C39" t="s">
        <v>9</v>
      </c>
      <c r="D39">
        <v>28</v>
      </c>
      <c r="E39" t="s">
        <v>26</v>
      </c>
      <c r="F39" s="1">
        <v>44998</v>
      </c>
      <c r="G39" t="s">
        <v>11</v>
      </c>
      <c r="H39" t="s">
        <v>12</v>
      </c>
    </row>
    <row r="40" spans="1:8" x14ac:dyDescent="0.3">
      <c r="A40">
        <v>27</v>
      </c>
      <c r="B40" t="s">
        <v>52</v>
      </c>
      <c r="C40" t="s">
        <v>17</v>
      </c>
      <c r="D40">
        <v>35</v>
      </c>
      <c r="E40" t="s">
        <v>26</v>
      </c>
      <c r="F40" s="1">
        <v>45097</v>
      </c>
      <c r="G40" t="s">
        <v>11</v>
      </c>
      <c r="H40" t="s">
        <v>12</v>
      </c>
    </row>
    <row r="41" spans="1:8" x14ac:dyDescent="0.3">
      <c r="A41">
        <v>1</v>
      </c>
      <c r="B41" t="s">
        <v>53</v>
      </c>
      <c r="C41" t="s">
        <v>9</v>
      </c>
      <c r="D41">
        <v>46</v>
      </c>
      <c r="E41" t="s">
        <v>18</v>
      </c>
      <c r="F41" s="1">
        <v>44991</v>
      </c>
      <c r="G41" t="s">
        <v>19</v>
      </c>
      <c r="H41" t="s">
        <v>15</v>
      </c>
    </row>
    <row r="42" spans="1:8" x14ac:dyDescent="0.3">
      <c r="A42">
        <v>7</v>
      </c>
      <c r="B42" t="s">
        <v>54</v>
      </c>
      <c r="C42" t="s">
        <v>17</v>
      </c>
      <c r="D42">
        <v>48</v>
      </c>
      <c r="E42" t="s">
        <v>36</v>
      </c>
      <c r="F42" s="1">
        <v>45329</v>
      </c>
      <c r="G42" t="s">
        <v>19</v>
      </c>
      <c r="H42" t="s">
        <v>12</v>
      </c>
    </row>
    <row r="43" spans="1:8" x14ac:dyDescent="0.3">
      <c r="A43">
        <v>9</v>
      </c>
      <c r="B43" t="s">
        <v>55</v>
      </c>
      <c r="C43" t="s">
        <v>9</v>
      </c>
      <c r="D43">
        <v>20</v>
      </c>
      <c r="E43" t="s">
        <v>26</v>
      </c>
      <c r="F43" s="1">
        <v>45428</v>
      </c>
      <c r="G43" t="s">
        <v>19</v>
      </c>
      <c r="H43" t="s">
        <v>15</v>
      </c>
    </row>
    <row r="44" spans="1:8" x14ac:dyDescent="0.3">
      <c r="A44">
        <v>12</v>
      </c>
      <c r="B44" t="s">
        <v>56</v>
      </c>
      <c r="C44" t="s">
        <v>17</v>
      </c>
      <c r="D44">
        <v>50</v>
      </c>
      <c r="E44" t="s">
        <v>18</v>
      </c>
      <c r="F44" s="1">
        <v>45419</v>
      </c>
      <c r="G44" t="s">
        <v>19</v>
      </c>
      <c r="H44" t="s">
        <v>12</v>
      </c>
    </row>
    <row r="45" spans="1:8" x14ac:dyDescent="0.3">
      <c r="A45">
        <v>17</v>
      </c>
      <c r="B45" t="s">
        <v>57</v>
      </c>
      <c r="C45" t="s">
        <v>9</v>
      </c>
      <c r="D45">
        <v>42</v>
      </c>
      <c r="E45" t="s">
        <v>26</v>
      </c>
      <c r="F45" s="1">
        <v>45412</v>
      </c>
      <c r="G45" t="s">
        <v>19</v>
      </c>
      <c r="H45" t="s">
        <v>15</v>
      </c>
    </row>
    <row r="46" spans="1:8" x14ac:dyDescent="0.3">
      <c r="A46">
        <v>19</v>
      </c>
      <c r="B46" t="s">
        <v>58</v>
      </c>
      <c r="C46" t="s">
        <v>17</v>
      </c>
      <c r="D46">
        <v>46</v>
      </c>
      <c r="E46" t="s">
        <v>10</v>
      </c>
      <c r="F46" s="1">
        <v>44963</v>
      </c>
      <c r="G46" t="s">
        <v>19</v>
      </c>
      <c r="H46" t="s">
        <v>15</v>
      </c>
    </row>
    <row r="47" spans="1:8" x14ac:dyDescent="0.3">
      <c r="A47">
        <v>22</v>
      </c>
      <c r="B47" t="s">
        <v>59</v>
      </c>
      <c r="C47" t="s">
        <v>17</v>
      </c>
      <c r="D47">
        <v>31</v>
      </c>
      <c r="E47" t="s">
        <v>10</v>
      </c>
      <c r="F47" s="1">
        <v>44935</v>
      </c>
      <c r="G47" t="s">
        <v>19</v>
      </c>
      <c r="H47" t="s">
        <v>15</v>
      </c>
    </row>
    <row r="48" spans="1:8" x14ac:dyDescent="0.3">
      <c r="A48">
        <v>24</v>
      </c>
      <c r="B48" t="s">
        <v>32</v>
      </c>
      <c r="C48" t="s">
        <v>17</v>
      </c>
      <c r="D48">
        <v>38</v>
      </c>
      <c r="E48" t="s">
        <v>10</v>
      </c>
      <c r="F48" s="1">
        <v>45230</v>
      </c>
      <c r="G48" t="s">
        <v>19</v>
      </c>
      <c r="H48" t="s">
        <v>12</v>
      </c>
    </row>
    <row r="49" spans="1:8" x14ac:dyDescent="0.3">
      <c r="A49">
        <v>32</v>
      </c>
      <c r="B49" t="s">
        <v>41</v>
      </c>
      <c r="C49" t="s">
        <v>9</v>
      </c>
      <c r="D49">
        <v>28</v>
      </c>
      <c r="E49" t="s">
        <v>14</v>
      </c>
      <c r="F49" s="1">
        <v>44967</v>
      </c>
      <c r="G49" t="s">
        <v>19</v>
      </c>
      <c r="H49" t="s">
        <v>15</v>
      </c>
    </row>
    <row r="50" spans="1:8" x14ac:dyDescent="0.3">
      <c r="A50">
        <v>35</v>
      </c>
      <c r="B50" t="s">
        <v>60</v>
      </c>
      <c r="C50" t="s">
        <v>17</v>
      </c>
      <c r="D50">
        <v>38</v>
      </c>
      <c r="E50" t="s">
        <v>10</v>
      </c>
      <c r="F50" s="1">
        <v>45247</v>
      </c>
      <c r="G50" t="s">
        <v>19</v>
      </c>
      <c r="H50" t="s">
        <v>15</v>
      </c>
    </row>
    <row r="51" spans="1:8" x14ac:dyDescent="0.3">
      <c r="A51">
        <v>44</v>
      </c>
      <c r="B51" t="s">
        <v>61</v>
      </c>
      <c r="C51" t="s">
        <v>17</v>
      </c>
      <c r="D51">
        <v>34</v>
      </c>
      <c r="E51" t="s">
        <v>14</v>
      </c>
      <c r="F51" s="1">
        <v>45477</v>
      </c>
      <c r="G51" t="s">
        <v>19</v>
      </c>
      <c r="H51" t="s">
        <v>12</v>
      </c>
    </row>
    <row r="52" spans="1:8" x14ac:dyDescent="0.3">
      <c r="A52">
        <v>47</v>
      </c>
      <c r="B52" t="s">
        <v>52</v>
      </c>
      <c r="C52" t="s">
        <v>9</v>
      </c>
      <c r="D52">
        <v>43</v>
      </c>
      <c r="E52" t="s">
        <v>10</v>
      </c>
      <c r="F52" s="1">
        <v>45192</v>
      </c>
      <c r="G52" t="s">
        <v>19</v>
      </c>
      <c r="H52" t="s">
        <v>15</v>
      </c>
    </row>
    <row r="53" spans="1:8" x14ac:dyDescent="0.3">
      <c r="A53">
        <v>51</v>
      </c>
      <c r="B53" t="s">
        <v>62</v>
      </c>
      <c r="C53" t="s">
        <v>9</v>
      </c>
      <c r="D53">
        <v>23</v>
      </c>
      <c r="E53" t="s">
        <v>14</v>
      </c>
      <c r="F53" s="1">
        <v>45492</v>
      </c>
      <c r="G53" t="s">
        <v>19</v>
      </c>
      <c r="H53" t="s">
        <v>15</v>
      </c>
    </row>
    <row r="54" spans="1:8" x14ac:dyDescent="0.3">
      <c r="A54">
        <v>54</v>
      </c>
      <c r="B54" t="s">
        <v>53</v>
      </c>
      <c r="C54" t="s">
        <v>17</v>
      </c>
      <c r="D54">
        <v>46</v>
      </c>
      <c r="E54" t="s">
        <v>36</v>
      </c>
      <c r="F54" s="1">
        <v>45602</v>
      </c>
      <c r="G54" t="s">
        <v>19</v>
      </c>
      <c r="H54" t="s">
        <v>12</v>
      </c>
    </row>
    <row r="55" spans="1:8" x14ac:dyDescent="0.3">
      <c r="A55">
        <v>55</v>
      </c>
      <c r="B55" t="s">
        <v>58</v>
      </c>
      <c r="C55" t="s">
        <v>9</v>
      </c>
      <c r="D55">
        <v>31</v>
      </c>
      <c r="E55" t="s">
        <v>14</v>
      </c>
      <c r="F55" s="1">
        <v>45260</v>
      </c>
      <c r="G55" t="s">
        <v>19</v>
      </c>
      <c r="H55" t="s">
        <v>12</v>
      </c>
    </row>
    <row r="56" spans="1:8" x14ac:dyDescent="0.3">
      <c r="A56">
        <v>56</v>
      </c>
      <c r="B56" t="s">
        <v>63</v>
      </c>
      <c r="C56" t="s">
        <v>17</v>
      </c>
      <c r="D56">
        <v>30</v>
      </c>
      <c r="E56" t="s">
        <v>10</v>
      </c>
      <c r="F56" s="1">
        <v>45211</v>
      </c>
      <c r="G56" t="s">
        <v>19</v>
      </c>
      <c r="H56" t="s">
        <v>15</v>
      </c>
    </row>
    <row r="57" spans="1:8" x14ac:dyDescent="0.3">
      <c r="A57">
        <v>61</v>
      </c>
      <c r="B57" t="s">
        <v>64</v>
      </c>
      <c r="C57" t="s">
        <v>9</v>
      </c>
      <c r="D57">
        <v>18</v>
      </c>
      <c r="E57" t="s">
        <v>14</v>
      </c>
      <c r="F57" s="1">
        <v>45620</v>
      </c>
      <c r="G57" t="s">
        <v>19</v>
      </c>
      <c r="H57" t="s">
        <v>12</v>
      </c>
    </row>
    <row r="58" spans="1:8" x14ac:dyDescent="0.3">
      <c r="A58">
        <v>62</v>
      </c>
      <c r="B58" t="s">
        <v>51</v>
      </c>
      <c r="C58" t="s">
        <v>9</v>
      </c>
      <c r="D58">
        <v>25</v>
      </c>
      <c r="E58" t="s">
        <v>18</v>
      </c>
      <c r="F58" s="1">
        <v>45479</v>
      </c>
      <c r="G58" t="s">
        <v>19</v>
      </c>
      <c r="H58" t="s">
        <v>15</v>
      </c>
    </row>
    <row r="59" spans="1:8" x14ac:dyDescent="0.3">
      <c r="A59">
        <v>63</v>
      </c>
      <c r="B59" t="s">
        <v>65</v>
      </c>
      <c r="C59" t="s">
        <v>17</v>
      </c>
      <c r="D59">
        <v>47</v>
      </c>
      <c r="E59" t="s">
        <v>10</v>
      </c>
      <c r="F59" s="1">
        <v>45577</v>
      </c>
      <c r="G59" t="s">
        <v>19</v>
      </c>
      <c r="H59" t="s">
        <v>12</v>
      </c>
    </row>
    <row r="60" spans="1:8" x14ac:dyDescent="0.3">
      <c r="A60">
        <v>73</v>
      </c>
      <c r="B60" t="s">
        <v>66</v>
      </c>
      <c r="C60" t="s">
        <v>17</v>
      </c>
      <c r="D60">
        <v>43</v>
      </c>
      <c r="E60" t="s">
        <v>26</v>
      </c>
      <c r="F60" s="1">
        <v>45177</v>
      </c>
      <c r="G60" t="s">
        <v>19</v>
      </c>
      <c r="H60" t="s">
        <v>15</v>
      </c>
    </row>
    <row r="61" spans="1:8" x14ac:dyDescent="0.3">
      <c r="A61">
        <v>82</v>
      </c>
      <c r="B61" t="s">
        <v>67</v>
      </c>
      <c r="C61" t="s">
        <v>17</v>
      </c>
      <c r="D61">
        <v>19</v>
      </c>
      <c r="E61" t="s">
        <v>14</v>
      </c>
      <c r="F61" s="1">
        <v>45090</v>
      </c>
      <c r="G61" t="s">
        <v>19</v>
      </c>
      <c r="H61" t="s">
        <v>15</v>
      </c>
    </row>
    <row r="62" spans="1:8" x14ac:dyDescent="0.3">
      <c r="A62">
        <v>85</v>
      </c>
      <c r="B62" t="s">
        <v>25</v>
      </c>
      <c r="C62" t="s">
        <v>9</v>
      </c>
      <c r="D62">
        <v>30</v>
      </c>
      <c r="E62" t="s">
        <v>18</v>
      </c>
      <c r="F62" s="1">
        <v>45579</v>
      </c>
      <c r="G62" t="s">
        <v>19</v>
      </c>
      <c r="H62" t="s">
        <v>12</v>
      </c>
    </row>
    <row r="63" spans="1:8" x14ac:dyDescent="0.3">
      <c r="A63">
        <v>87</v>
      </c>
      <c r="B63" t="s">
        <v>68</v>
      </c>
      <c r="C63" t="s">
        <v>17</v>
      </c>
      <c r="D63">
        <v>40</v>
      </c>
      <c r="E63" t="s">
        <v>10</v>
      </c>
      <c r="F63" s="1">
        <v>45500</v>
      </c>
      <c r="G63" t="s">
        <v>19</v>
      </c>
      <c r="H63" t="s">
        <v>15</v>
      </c>
    </row>
    <row r="64" spans="1:8" x14ac:dyDescent="0.3">
      <c r="A64">
        <v>89</v>
      </c>
      <c r="B64" t="s">
        <v>69</v>
      </c>
      <c r="C64" t="s">
        <v>17</v>
      </c>
      <c r="D64">
        <v>23</v>
      </c>
      <c r="E64" t="s">
        <v>10</v>
      </c>
      <c r="F64" s="1">
        <v>45365</v>
      </c>
      <c r="G64" t="s">
        <v>19</v>
      </c>
      <c r="H64" t="s">
        <v>12</v>
      </c>
    </row>
    <row r="65" spans="1:8" x14ac:dyDescent="0.3">
      <c r="A65">
        <v>94</v>
      </c>
      <c r="B65" t="s">
        <v>70</v>
      </c>
      <c r="C65" t="s">
        <v>17</v>
      </c>
      <c r="D65">
        <v>36</v>
      </c>
      <c r="E65" t="s">
        <v>36</v>
      </c>
      <c r="F65" s="1">
        <v>45595</v>
      </c>
      <c r="G65" t="s">
        <v>19</v>
      </c>
      <c r="H65" t="s">
        <v>12</v>
      </c>
    </row>
    <row r="66" spans="1:8" x14ac:dyDescent="0.3">
      <c r="A66">
        <v>95</v>
      </c>
      <c r="B66" t="s">
        <v>71</v>
      </c>
      <c r="C66" t="s">
        <v>9</v>
      </c>
      <c r="D66">
        <v>26</v>
      </c>
      <c r="E66" t="s">
        <v>10</v>
      </c>
      <c r="F66" s="1">
        <v>45259</v>
      </c>
      <c r="G66" t="s">
        <v>11</v>
      </c>
      <c r="H66" t="s">
        <v>15</v>
      </c>
    </row>
    <row r="67" spans="1:8" x14ac:dyDescent="0.3">
      <c r="A67">
        <v>97</v>
      </c>
      <c r="B67" t="s">
        <v>70</v>
      </c>
      <c r="C67" t="s">
        <v>9</v>
      </c>
      <c r="D67">
        <v>38</v>
      </c>
      <c r="E67" t="s">
        <v>10</v>
      </c>
      <c r="F67" s="1">
        <v>45251</v>
      </c>
      <c r="G67" t="s">
        <v>11</v>
      </c>
      <c r="H67" t="s">
        <v>12</v>
      </c>
    </row>
    <row r="68" spans="1:8" x14ac:dyDescent="0.3">
      <c r="A68">
        <v>98</v>
      </c>
      <c r="B68" t="s">
        <v>72</v>
      </c>
      <c r="C68" t="s">
        <v>9</v>
      </c>
      <c r="D68">
        <v>23</v>
      </c>
      <c r="E68" t="s">
        <v>10</v>
      </c>
      <c r="F68" s="1">
        <v>45392</v>
      </c>
      <c r="G68" t="s">
        <v>11</v>
      </c>
      <c r="H68" t="s">
        <v>15</v>
      </c>
    </row>
    <row r="69" spans="1:8" x14ac:dyDescent="0.3">
      <c r="A69">
        <v>100</v>
      </c>
      <c r="B69" t="s">
        <v>73</v>
      </c>
      <c r="C69" t="s">
        <v>9</v>
      </c>
      <c r="D69">
        <v>50</v>
      </c>
      <c r="E69" t="s">
        <v>36</v>
      </c>
      <c r="F69" s="1">
        <v>45241</v>
      </c>
      <c r="G69" t="s">
        <v>11</v>
      </c>
      <c r="H69" t="s">
        <v>15</v>
      </c>
    </row>
    <row r="70" spans="1:8" x14ac:dyDescent="0.3">
      <c r="A70">
        <v>101</v>
      </c>
      <c r="B70" t="s">
        <v>13</v>
      </c>
      <c r="C70" t="s">
        <v>17</v>
      </c>
      <c r="D70">
        <v>29</v>
      </c>
      <c r="E70" t="s">
        <v>18</v>
      </c>
      <c r="F70" s="1">
        <v>45503</v>
      </c>
      <c r="G70" t="s">
        <v>11</v>
      </c>
      <c r="H70" t="s">
        <v>15</v>
      </c>
    </row>
    <row r="71" spans="1:8" x14ac:dyDescent="0.3">
      <c r="A71">
        <v>102</v>
      </c>
      <c r="B71" t="s">
        <v>27</v>
      </c>
      <c r="C71" t="s">
        <v>17</v>
      </c>
      <c r="D71">
        <v>22</v>
      </c>
      <c r="E71" t="s">
        <v>36</v>
      </c>
      <c r="F71" s="1">
        <v>45136</v>
      </c>
      <c r="G71" t="s">
        <v>19</v>
      </c>
      <c r="H71" t="s">
        <v>12</v>
      </c>
    </row>
    <row r="72" spans="1:8" x14ac:dyDescent="0.3">
      <c r="A72">
        <v>103</v>
      </c>
      <c r="B72" t="s">
        <v>40</v>
      </c>
      <c r="C72" t="s">
        <v>9</v>
      </c>
      <c r="D72">
        <v>36</v>
      </c>
      <c r="E72" t="s">
        <v>36</v>
      </c>
      <c r="F72" s="1">
        <v>45303</v>
      </c>
      <c r="G72" t="s">
        <v>19</v>
      </c>
      <c r="H72" t="s">
        <v>12</v>
      </c>
    </row>
    <row r="73" spans="1:8" x14ac:dyDescent="0.3">
      <c r="A73">
        <v>108</v>
      </c>
      <c r="B73" t="s">
        <v>22</v>
      </c>
      <c r="C73" t="s">
        <v>17</v>
      </c>
      <c r="D73">
        <v>28</v>
      </c>
      <c r="E73" t="s">
        <v>26</v>
      </c>
      <c r="F73" s="1">
        <v>45061</v>
      </c>
      <c r="G73" t="s">
        <v>11</v>
      </c>
      <c r="H73" t="s">
        <v>12</v>
      </c>
    </row>
    <row r="74" spans="1:8" x14ac:dyDescent="0.3">
      <c r="A74">
        <v>109</v>
      </c>
      <c r="B74" t="s">
        <v>74</v>
      </c>
      <c r="C74" t="s">
        <v>17</v>
      </c>
      <c r="D74">
        <v>23</v>
      </c>
      <c r="E74" t="s">
        <v>14</v>
      </c>
      <c r="F74" s="1">
        <v>45357</v>
      </c>
      <c r="G74" t="s">
        <v>11</v>
      </c>
      <c r="H74" t="s">
        <v>12</v>
      </c>
    </row>
    <row r="75" spans="1:8" x14ac:dyDescent="0.3">
      <c r="A75">
        <v>114</v>
      </c>
      <c r="B75" t="s">
        <v>75</v>
      </c>
      <c r="C75" t="s">
        <v>17</v>
      </c>
      <c r="D75">
        <v>32</v>
      </c>
      <c r="E75" t="s">
        <v>14</v>
      </c>
      <c r="F75" s="1">
        <v>45059</v>
      </c>
      <c r="G75" t="s">
        <v>11</v>
      </c>
      <c r="H75" t="s">
        <v>12</v>
      </c>
    </row>
    <row r="76" spans="1:8" x14ac:dyDescent="0.3">
      <c r="A76">
        <v>119</v>
      </c>
      <c r="B76" t="s">
        <v>24</v>
      </c>
      <c r="C76" t="s">
        <v>9</v>
      </c>
      <c r="D76">
        <v>49</v>
      </c>
      <c r="E76" t="s">
        <v>10</v>
      </c>
      <c r="F76" s="1">
        <v>45190</v>
      </c>
      <c r="G76" t="s">
        <v>19</v>
      </c>
      <c r="H76" t="s">
        <v>12</v>
      </c>
    </row>
    <row r="77" spans="1:8" x14ac:dyDescent="0.3">
      <c r="A77">
        <v>125</v>
      </c>
      <c r="B77" t="s">
        <v>76</v>
      </c>
      <c r="C77" t="s">
        <v>9</v>
      </c>
      <c r="D77">
        <v>25</v>
      </c>
      <c r="E77" t="s">
        <v>36</v>
      </c>
      <c r="F77" s="1">
        <v>45564</v>
      </c>
      <c r="G77" t="s">
        <v>19</v>
      </c>
      <c r="H77" t="s">
        <v>12</v>
      </c>
    </row>
    <row r="78" spans="1:8" x14ac:dyDescent="0.3">
      <c r="A78">
        <v>129</v>
      </c>
      <c r="B78" t="s">
        <v>77</v>
      </c>
      <c r="C78" t="s">
        <v>9</v>
      </c>
      <c r="D78">
        <v>27</v>
      </c>
      <c r="E78" t="s">
        <v>10</v>
      </c>
      <c r="F78" s="1">
        <v>45282</v>
      </c>
      <c r="G78" t="s">
        <v>11</v>
      </c>
      <c r="H78" t="s">
        <v>12</v>
      </c>
    </row>
    <row r="79" spans="1:8" x14ac:dyDescent="0.3">
      <c r="A79">
        <v>130</v>
      </c>
      <c r="B79" t="s">
        <v>75</v>
      </c>
      <c r="C79" t="s">
        <v>17</v>
      </c>
      <c r="D79">
        <v>35</v>
      </c>
      <c r="E79" t="s">
        <v>10</v>
      </c>
      <c r="F79" s="1">
        <v>45032</v>
      </c>
      <c r="G79" t="s">
        <v>11</v>
      </c>
      <c r="H79" t="s">
        <v>12</v>
      </c>
    </row>
    <row r="80" spans="1:8" x14ac:dyDescent="0.3">
      <c r="A80">
        <v>134</v>
      </c>
      <c r="B80" t="s">
        <v>78</v>
      </c>
      <c r="C80" t="s">
        <v>17</v>
      </c>
      <c r="D80">
        <v>29</v>
      </c>
      <c r="E80" t="s">
        <v>36</v>
      </c>
      <c r="F80" s="1">
        <v>45489</v>
      </c>
      <c r="G80" t="s">
        <v>19</v>
      </c>
      <c r="H80" t="s">
        <v>12</v>
      </c>
    </row>
    <row r="81" spans="1:8" x14ac:dyDescent="0.3">
      <c r="A81">
        <v>138</v>
      </c>
      <c r="B81" t="s">
        <v>79</v>
      </c>
      <c r="C81" t="s">
        <v>9</v>
      </c>
      <c r="D81">
        <v>46</v>
      </c>
      <c r="E81" t="s">
        <v>18</v>
      </c>
      <c r="F81" s="1">
        <v>45086</v>
      </c>
      <c r="G81" t="s">
        <v>11</v>
      </c>
      <c r="H81" t="s">
        <v>15</v>
      </c>
    </row>
    <row r="82" spans="1:8" x14ac:dyDescent="0.3">
      <c r="A82">
        <v>141</v>
      </c>
      <c r="B82" t="s">
        <v>80</v>
      </c>
      <c r="C82" t="s">
        <v>17</v>
      </c>
      <c r="D82">
        <v>18</v>
      </c>
      <c r="E82" t="s">
        <v>14</v>
      </c>
      <c r="F82" s="1">
        <v>45028</v>
      </c>
      <c r="G82" t="s">
        <v>11</v>
      </c>
      <c r="H82" t="s">
        <v>15</v>
      </c>
    </row>
    <row r="83" spans="1:8" x14ac:dyDescent="0.3">
      <c r="A83">
        <v>142</v>
      </c>
      <c r="B83" t="s">
        <v>81</v>
      </c>
      <c r="C83" t="s">
        <v>9</v>
      </c>
      <c r="D83">
        <v>48</v>
      </c>
      <c r="E83" t="s">
        <v>36</v>
      </c>
      <c r="F83" s="1">
        <v>45204</v>
      </c>
      <c r="G83" t="s">
        <v>19</v>
      </c>
      <c r="H83" t="s">
        <v>15</v>
      </c>
    </row>
    <row r="84" spans="1:8" x14ac:dyDescent="0.3">
      <c r="A84">
        <v>148</v>
      </c>
      <c r="B84" t="s">
        <v>82</v>
      </c>
      <c r="C84" t="s">
        <v>9</v>
      </c>
      <c r="D84">
        <v>35</v>
      </c>
      <c r="E84" t="s">
        <v>36</v>
      </c>
      <c r="F84" s="1">
        <v>45335</v>
      </c>
      <c r="G84" t="s">
        <v>19</v>
      </c>
      <c r="H84" t="s">
        <v>15</v>
      </c>
    </row>
    <row r="85" spans="1:8" x14ac:dyDescent="0.3">
      <c r="A85">
        <v>30</v>
      </c>
      <c r="B85" t="s">
        <v>83</v>
      </c>
      <c r="C85" t="s">
        <v>17</v>
      </c>
      <c r="D85">
        <v>35</v>
      </c>
      <c r="E85" t="s">
        <v>26</v>
      </c>
      <c r="F85" s="1">
        <v>45490</v>
      </c>
      <c r="G85" t="s">
        <v>11</v>
      </c>
      <c r="H85" t="s">
        <v>15</v>
      </c>
    </row>
    <row r="86" spans="1:8" x14ac:dyDescent="0.3">
      <c r="A86">
        <v>33</v>
      </c>
      <c r="B86" t="s">
        <v>84</v>
      </c>
      <c r="C86" t="s">
        <v>9</v>
      </c>
      <c r="D86">
        <v>36</v>
      </c>
      <c r="E86" t="s">
        <v>10</v>
      </c>
      <c r="F86" s="1">
        <v>45032</v>
      </c>
      <c r="G86" t="s">
        <v>11</v>
      </c>
      <c r="H86" t="s">
        <v>12</v>
      </c>
    </row>
    <row r="87" spans="1:8" x14ac:dyDescent="0.3">
      <c r="A87">
        <v>34</v>
      </c>
      <c r="B87" t="s">
        <v>35</v>
      </c>
      <c r="C87" t="s">
        <v>17</v>
      </c>
      <c r="D87">
        <v>19</v>
      </c>
      <c r="E87" t="s">
        <v>14</v>
      </c>
      <c r="F87" s="1">
        <v>45139</v>
      </c>
      <c r="G87" t="s">
        <v>11</v>
      </c>
      <c r="H87" t="s">
        <v>12</v>
      </c>
    </row>
    <row r="88" spans="1:8" x14ac:dyDescent="0.3">
      <c r="A88">
        <v>41</v>
      </c>
      <c r="B88" t="s">
        <v>85</v>
      </c>
      <c r="C88" t="s">
        <v>17</v>
      </c>
      <c r="D88">
        <v>24</v>
      </c>
      <c r="E88" t="s">
        <v>10</v>
      </c>
      <c r="F88" s="1">
        <v>45407</v>
      </c>
      <c r="G88" t="s">
        <v>11</v>
      </c>
      <c r="H88" t="s">
        <v>15</v>
      </c>
    </row>
    <row r="89" spans="1:8" x14ac:dyDescent="0.3">
      <c r="A89">
        <v>42</v>
      </c>
      <c r="B89" t="s">
        <v>86</v>
      </c>
      <c r="C89" t="s">
        <v>9</v>
      </c>
      <c r="D89">
        <v>37</v>
      </c>
      <c r="E89" t="s">
        <v>14</v>
      </c>
      <c r="F89" s="1">
        <v>45080</v>
      </c>
      <c r="G89" t="s">
        <v>11</v>
      </c>
      <c r="H89" t="s">
        <v>15</v>
      </c>
    </row>
    <row r="90" spans="1:8" x14ac:dyDescent="0.3">
      <c r="A90">
        <v>45</v>
      </c>
      <c r="B90" t="s">
        <v>87</v>
      </c>
      <c r="C90" t="s">
        <v>9</v>
      </c>
      <c r="D90">
        <v>18</v>
      </c>
      <c r="E90" t="s">
        <v>18</v>
      </c>
      <c r="F90" s="1">
        <v>45376</v>
      </c>
      <c r="G90" t="s">
        <v>11</v>
      </c>
      <c r="H90" t="s">
        <v>15</v>
      </c>
    </row>
    <row r="91" spans="1:8" x14ac:dyDescent="0.3">
      <c r="A91">
        <v>46</v>
      </c>
      <c r="B91" t="s">
        <v>72</v>
      </c>
      <c r="C91" t="s">
        <v>9</v>
      </c>
      <c r="D91">
        <v>19</v>
      </c>
      <c r="E91" t="s">
        <v>14</v>
      </c>
      <c r="F91" s="1">
        <v>44951</v>
      </c>
      <c r="G91" t="s">
        <v>11</v>
      </c>
      <c r="H91" t="s">
        <v>15</v>
      </c>
    </row>
    <row r="92" spans="1:8" x14ac:dyDescent="0.3">
      <c r="A92">
        <v>49</v>
      </c>
      <c r="B92" t="s">
        <v>57</v>
      </c>
      <c r="C92" t="s">
        <v>9</v>
      </c>
      <c r="D92">
        <v>39</v>
      </c>
      <c r="E92" t="s">
        <v>10</v>
      </c>
      <c r="F92" s="1">
        <v>45417</v>
      </c>
      <c r="G92" t="s">
        <v>11</v>
      </c>
      <c r="H92" t="s">
        <v>15</v>
      </c>
    </row>
    <row r="93" spans="1:8" x14ac:dyDescent="0.3">
      <c r="A93">
        <v>52</v>
      </c>
      <c r="B93" t="s">
        <v>88</v>
      </c>
      <c r="C93" t="s">
        <v>17</v>
      </c>
      <c r="D93">
        <v>49</v>
      </c>
      <c r="E93" t="s">
        <v>18</v>
      </c>
      <c r="F93" s="1">
        <v>45363</v>
      </c>
      <c r="G93" t="s">
        <v>11</v>
      </c>
      <c r="H93" t="s">
        <v>12</v>
      </c>
    </row>
    <row r="94" spans="1:8" x14ac:dyDescent="0.3">
      <c r="A94">
        <v>58</v>
      </c>
      <c r="B94" t="s">
        <v>89</v>
      </c>
      <c r="C94" t="s">
        <v>9</v>
      </c>
      <c r="D94">
        <v>28</v>
      </c>
      <c r="E94" t="s">
        <v>10</v>
      </c>
      <c r="F94" s="1">
        <v>45526</v>
      </c>
      <c r="G94" t="s">
        <v>11</v>
      </c>
      <c r="H94" t="s">
        <v>12</v>
      </c>
    </row>
    <row r="95" spans="1:8" x14ac:dyDescent="0.3">
      <c r="A95">
        <v>60</v>
      </c>
      <c r="B95" t="s">
        <v>90</v>
      </c>
      <c r="C95" t="s">
        <v>17</v>
      </c>
      <c r="D95">
        <v>22</v>
      </c>
      <c r="E95" t="s">
        <v>10</v>
      </c>
      <c r="F95" s="1">
        <v>44940</v>
      </c>
      <c r="G95" t="s">
        <v>11</v>
      </c>
      <c r="H95" t="s">
        <v>12</v>
      </c>
    </row>
    <row r="96" spans="1:8" x14ac:dyDescent="0.3">
      <c r="A96">
        <v>65</v>
      </c>
      <c r="B96" t="s">
        <v>91</v>
      </c>
      <c r="C96" t="s">
        <v>17</v>
      </c>
      <c r="D96">
        <v>49</v>
      </c>
      <c r="E96" t="s">
        <v>36</v>
      </c>
      <c r="F96" s="1">
        <v>45271</v>
      </c>
      <c r="G96" t="s">
        <v>11</v>
      </c>
      <c r="H96" t="s">
        <v>15</v>
      </c>
    </row>
    <row r="97" spans="1:8" x14ac:dyDescent="0.3">
      <c r="A97">
        <v>69</v>
      </c>
      <c r="B97" t="s">
        <v>80</v>
      </c>
      <c r="C97" t="s">
        <v>17</v>
      </c>
      <c r="D97">
        <v>23</v>
      </c>
      <c r="E97" t="s">
        <v>18</v>
      </c>
      <c r="F97" s="1">
        <v>45095</v>
      </c>
      <c r="G97" t="s">
        <v>11</v>
      </c>
      <c r="H97" t="s">
        <v>12</v>
      </c>
    </row>
    <row r="98" spans="1:8" x14ac:dyDescent="0.3">
      <c r="A98">
        <v>71</v>
      </c>
      <c r="B98" t="s">
        <v>92</v>
      </c>
      <c r="C98" t="s">
        <v>17</v>
      </c>
      <c r="D98">
        <v>37</v>
      </c>
      <c r="E98" t="s">
        <v>10</v>
      </c>
      <c r="F98" s="1">
        <v>45498</v>
      </c>
      <c r="G98" t="s">
        <v>11</v>
      </c>
      <c r="H98" t="s">
        <v>12</v>
      </c>
    </row>
    <row r="99" spans="1:8" x14ac:dyDescent="0.3">
      <c r="A99">
        <v>72</v>
      </c>
      <c r="B99" t="s">
        <v>93</v>
      </c>
      <c r="C99" t="s">
        <v>9</v>
      </c>
      <c r="D99">
        <v>34</v>
      </c>
      <c r="E99" t="s">
        <v>10</v>
      </c>
      <c r="F99" s="1">
        <v>45501</v>
      </c>
      <c r="G99" t="s">
        <v>11</v>
      </c>
      <c r="H99" t="s">
        <v>15</v>
      </c>
    </row>
    <row r="100" spans="1:8" x14ac:dyDescent="0.3">
      <c r="A100">
        <v>75</v>
      </c>
      <c r="B100" t="s">
        <v>92</v>
      </c>
      <c r="C100" t="s">
        <v>17</v>
      </c>
      <c r="D100">
        <v>46</v>
      </c>
      <c r="E100" t="s">
        <v>26</v>
      </c>
      <c r="F100" s="1">
        <v>45093</v>
      </c>
      <c r="G100" t="s">
        <v>11</v>
      </c>
      <c r="H100" t="s">
        <v>12</v>
      </c>
    </row>
    <row r="101" spans="1:8" x14ac:dyDescent="0.3">
      <c r="A101">
        <v>80</v>
      </c>
      <c r="B101" t="s">
        <v>94</v>
      </c>
      <c r="C101" t="s">
        <v>17</v>
      </c>
      <c r="D101">
        <v>46</v>
      </c>
      <c r="E101" t="s">
        <v>26</v>
      </c>
      <c r="F101" s="1">
        <v>45487</v>
      </c>
      <c r="G101" t="s">
        <v>11</v>
      </c>
      <c r="H101" t="s">
        <v>12</v>
      </c>
    </row>
    <row r="102" spans="1:8" x14ac:dyDescent="0.3">
      <c r="A102">
        <v>92</v>
      </c>
      <c r="B102" t="s">
        <v>95</v>
      </c>
      <c r="C102" t="s">
        <v>9</v>
      </c>
      <c r="D102">
        <v>42</v>
      </c>
      <c r="E102" t="s">
        <v>14</v>
      </c>
      <c r="F102" s="1">
        <v>45247</v>
      </c>
      <c r="G102" t="s">
        <v>11</v>
      </c>
      <c r="H102" t="s">
        <v>15</v>
      </c>
    </row>
    <row r="103" spans="1:8" x14ac:dyDescent="0.3">
      <c r="A103">
        <v>96</v>
      </c>
      <c r="B103" t="s">
        <v>96</v>
      </c>
      <c r="C103" t="s">
        <v>9</v>
      </c>
      <c r="D103">
        <v>40</v>
      </c>
      <c r="E103" t="s">
        <v>26</v>
      </c>
      <c r="F103" s="1">
        <v>45248</v>
      </c>
      <c r="G103" t="s">
        <v>11</v>
      </c>
      <c r="H103" t="s">
        <v>15</v>
      </c>
    </row>
    <row r="104" spans="1:8" x14ac:dyDescent="0.3">
      <c r="A104">
        <v>99</v>
      </c>
      <c r="B104" t="s">
        <v>97</v>
      </c>
      <c r="C104" t="s">
        <v>9</v>
      </c>
      <c r="D104">
        <v>33</v>
      </c>
      <c r="E104" t="s">
        <v>10</v>
      </c>
      <c r="F104" s="1">
        <v>45430</v>
      </c>
      <c r="G104" t="s">
        <v>11</v>
      </c>
      <c r="H104" t="s">
        <v>12</v>
      </c>
    </row>
    <row r="105" spans="1:8" x14ac:dyDescent="0.3">
      <c r="A105">
        <v>104</v>
      </c>
      <c r="B105" t="s">
        <v>93</v>
      </c>
      <c r="C105" t="s">
        <v>17</v>
      </c>
      <c r="D105">
        <v>48</v>
      </c>
      <c r="E105" t="s">
        <v>14</v>
      </c>
      <c r="F105" s="1">
        <v>45390</v>
      </c>
      <c r="G105" t="s">
        <v>11</v>
      </c>
      <c r="H105" t="s">
        <v>12</v>
      </c>
    </row>
    <row r="106" spans="1:8" x14ac:dyDescent="0.3">
      <c r="A106">
        <v>111</v>
      </c>
      <c r="B106" t="s">
        <v>8</v>
      </c>
      <c r="C106" t="s">
        <v>17</v>
      </c>
      <c r="D106">
        <v>19</v>
      </c>
      <c r="E106" t="s">
        <v>36</v>
      </c>
      <c r="F106" s="1">
        <v>45290</v>
      </c>
      <c r="G106" t="s">
        <v>11</v>
      </c>
      <c r="H106" t="s">
        <v>12</v>
      </c>
    </row>
    <row r="107" spans="1:8" x14ac:dyDescent="0.3">
      <c r="A107">
        <v>112</v>
      </c>
      <c r="B107" t="s">
        <v>53</v>
      </c>
      <c r="C107" t="s">
        <v>9</v>
      </c>
      <c r="D107">
        <v>34</v>
      </c>
      <c r="E107" t="s">
        <v>10</v>
      </c>
      <c r="F107" s="1">
        <v>45221</v>
      </c>
      <c r="G107" t="s">
        <v>11</v>
      </c>
      <c r="H107" t="s">
        <v>12</v>
      </c>
    </row>
    <row r="108" spans="1:8" x14ac:dyDescent="0.3">
      <c r="A108">
        <v>124</v>
      </c>
      <c r="B108" t="s">
        <v>98</v>
      </c>
      <c r="C108" t="s">
        <v>9</v>
      </c>
      <c r="D108">
        <v>27</v>
      </c>
      <c r="E108" t="s">
        <v>14</v>
      </c>
      <c r="F108" s="1">
        <v>45547</v>
      </c>
      <c r="G108" t="s">
        <v>11</v>
      </c>
      <c r="H108" t="s">
        <v>15</v>
      </c>
    </row>
    <row r="109" spans="1:8" x14ac:dyDescent="0.3">
      <c r="A109">
        <v>131</v>
      </c>
      <c r="B109" t="s">
        <v>99</v>
      </c>
      <c r="C109" t="s">
        <v>9</v>
      </c>
      <c r="D109">
        <v>33</v>
      </c>
      <c r="E109" t="s">
        <v>14</v>
      </c>
      <c r="F109" s="1">
        <v>45069</v>
      </c>
      <c r="G109" t="s">
        <v>11</v>
      </c>
      <c r="H109" t="s">
        <v>12</v>
      </c>
    </row>
    <row r="110" spans="1:8" x14ac:dyDescent="0.3">
      <c r="A110">
        <v>132</v>
      </c>
      <c r="B110" t="s">
        <v>49</v>
      </c>
      <c r="C110" t="s">
        <v>17</v>
      </c>
      <c r="D110">
        <v>40</v>
      </c>
      <c r="E110" t="s">
        <v>36</v>
      </c>
      <c r="F110" s="1">
        <v>45256</v>
      </c>
      <c r="G110" t="s">
        <v>11</v>
      </c>
      <c r="H110" t="s">
        <v>12</v>
      </c>
    </row>
    <row r="111" spans="1:8" x14ac:dyDescent="0.3">
      <c r="A111">
        <v>137</v>
      </c>
      <c r="B111" t="s">
        <v>100</v>
      </c>
      <c r="C111" t="s">
        <v>17</v>
      </c>
      <c r="D111">
        <v>31</v>
      </c>
      <c r="E111" t="s">
        <v>18</v>
      </c>
      <c r="F111" s="1">
        <v>45086</v>
      </c>
      <c r="G111" t="s">
        <v>11</v>
      </c>
      <c r="H111" t="s">
        <v>12</v>
      </c>
    </row>
    <row r="112" spans="1:8" x14ac:dyDescent="0.3">
      <c r="A112">
        <v>143</v>
      </c>
      <c r="B112" t="s">
        <v>101</v>
      </c>
      <c r="C112" t="s">
        <v>9</v>
      </c>
      <c r="D112">
        <v>45</v>
      </c>
      <c r="E112" t="s">
        <v>26</v>
      </c>
      <c r="F112" s="1">
        <v>45046</v>
      </c>
      <c r="G112" t="s">
        <v>11</v>
      </c>
      <c r="H112" t="s">
        <v>15</v>
      </c>
    </row>
    <row r="113" spans="1:8" x14ac:dyDescent="0.3">
      <c r="A113">
        <v>90</v>
      </c>
      <c r="B113" t="s">
        <v>77</v>
      </c>
      <c r="C113" t="s">
        <v>17</v>
      </c>
      <c r="D113">
        <v>46</v>
      </c>
      <c r="E113" t="s">
        <v>36</v>
      </c>
      <c r="F113" s="1">
        <v>44968</v>
      </c>
      <c r="G113" t="s">
        <v>19</v>
      </c>
      <c r="H113" t="s">
        <v>12</v>
      </c>
    </row>
    <row r="114" spans="1:8" x14ac:dyDescent="0.3">
      <c r="A114">
        <v>93</v>
      </c>
      <c r="B114" t="s">
        <v>102</v>
      </c>
      <c r="C114" t="s">
        <v>9</v>
      </c>
      <c r="D114">
        <v>39</v>
      </c>
      <c r="E114" t="s">
        <v>10</v>
      </c>
      <c r="F114" s="1">
        <v>45441</v>
      </c>
      <c r="G114" t="s">
        <v>19</v>
      </c>
      <c r="H114" t="s">
        <v>12</v>
      </c>
    </row>
    <row r="115" spans="1:8" x14ac:dyDescent="0.3">
      <c r="A115">
        <v>105</v>
      </c>
      <c r="B115" t="s">
        <v>103</v>
      </c>
      <c r="C115" t="s">
        <v>9</v>
      </c>
      <c r="D115">
        <v>22</v>
      </c>
      <c r="E115" t="s">
        <v>18</v>
      </c>
      <c r="F115" s="1">
        <v>45471</v>
      </c>
      <c r="G115" t="s">
        <v>19</v>
      </c>
      <c r="H115" t="s">
        <v>15</v>
      </c>
    </row>
    <row r="116" spans="1:8" x14ac:dyDescent="0.3">
      <c r="A116">
        <v>107</v>
      </c>
      <c r="B116" t="s">
        <v>104</v>
      </c>
      <c r="C116" t="s">
        <v>9</v>
      </c>
      <c r="D116">
        <v>44</v>
      </c>
      <c r="E116" t="s">
        <v>10</v>
      </c>
      <c r="F116" s="1">
        <v>45587</v>
      </c>
      <c r="G116" t="s">
        <v>19</v>
      </c>
      <c r="H116" t="s">
        <v>12</v>
      </c>
    </row>
    <row r="117" spans="1:8" x14ac:dyDescent="0.3">
      <c r="A117">
        <v>110</v>
      </c>
      <c r="B117" t="s">
        <v>72</v>
      </c>
      <c r="C117" t="s">
        <v>9</v>
      </c>
      <c r="D117">
        <v>48</v>
      </c>
      <c r="E117" t="s">
        <v>26</v>
      </c>
      <c r="F117" s="1">
        <v>45205</v>
      </c>
      <c r="G117" t="s">
        <v>19</v>
      </c>
      <c r="H117" t="s">
        <v>12</v>
      </c>
    </row>
    <row r="118" spans="1:8" x14ac:dyDescent="0.3">
      <c r="A118">
        <v>113</v>
      </c>
      <c r="B118" t="s">
        <v>105</v>
      </c>
      <c r="C118" t="s">
        <v>9</v>
      </c>
      <c r="D118">
        <v>31</v>
      </c>
      <c r="E118" t="s">
        <v>18</v>
      </c>
      <c r="F118" s="1">
        <v>45270</v>
      </c>
      <c r="G118" t="s">
        <v>19</v>
      </c>
      <c r="H118" t="s">
        <v>12</v>
      </c>
    </row>
    <row r="119" spans="1:8" x14ac:dyDescent="0.3">
      <c r="A119">
        <v>115</v>
      </c>
      <c r="B119" t="s">
        <v>106</v>
      </c>
      <c r="C119" t="s">
        <v>17</v>
      </c>
      <c r="D119">
        <v>18</v>
      </c>
      <c r="E119" t="s">
        <v>14</v>
      </c>
      <c r="F119" s="1">
        <v>45028</v>
      </c>
      <c r="G119" t="s">
        <v>19</v>
      </c>
      <c r="H119" t="s">
        <v>15</v>
      </c>
    </row>
    <row r="120" spans="1:8" x14ac:dyDescent="0.3">
      <c r="A120">
        <v>117</v>
      </c>
      <c r="B120" t="s">
        <v>42</v>
      </c>
      <c r="C120" t="s">
        <v>17</v>
      </c>
      <c r="D120">
        <v>42</v>
      </c>
      <c r="E120" t="s">
        <v>14</v>
      </c>
      <c r="F120" s="1">
        <v>44975</v>
      </c>
      <c r="G120" t="s">
        <v>19</v>
      </c>
      <c r="H120" t="s">
        <v>12</v>
      </c>
    </row>
    <row r="121" spans="1:8" x14ac:dyDescent="0.3">
      <c r="A121">
        <v>118</v>
      </c>
      <c r="B121" t="s">
        <v>107</v>
      </c>
      <c r="C121" t="s">
        <v>9</v>
      </c>
      <c r="D121">
        <v>24</v>
      </c>
      <c r="E121" t="s">
        <v>36</v>
      </c>
      <c r="F121" s="1">
        <v>45045</v>
      </c>
      <c r="G121" t="s">
        <v>19</v>
      </c>
      <c r="H121" t="s">
        <v>15</v>
      </c>
    </row>
    <row r="122" spans="1:8" x14ac:dyDescent="0.3">
      <c r="A122">
        <v>120</v>
      </c>
      <c r="B122" t="s">
        <v>108</v>
      </c>
      <c r="C122" t="s">
        <v>9</v>
      </c>
      <c r="D122">
        <v>35</v>
      </c>
      <c r="E122" t="s">
        <v>14</v>
      </c>
      <c r="F122" s="1">
        <v>44935</v>
      </c>
      <c r="G122" t="s">
        <v>19</v>
      </c>
      <c r="H122" t="s">
        <v>12</v>
      </c>
    </row>
    <row r="123" spans="1:8" x14ac:dyDescent="0.3">
      <c r="A123">
        <v>122</v>
      </c>
      <c r="B123" t="s">
        <v>67</v>
      </c>
      <c r="C123" t="s">
        <v>17</v>
      </c>
      <c r="D123">
        <v>50</v>
      </c>
      <c r="E123" t="s">
        <v>36</v>
      </c>
      <c r="F123" s="1">
        <v>45501</v>
      </c>
      <c r="G123" t="s">
        <v>19</v>
      </c>
      <c r="H123" t="s">
        <v>12</v>
      </c>
    </row>
    <row r="124" spans="1:8" x14ac:dyDescent="0.3">
      <c r="A124">
        <v>128</v>
      </c>
      <c r="B124" t="s">
        <v>78</v>
      </c>
      <c r="C124" t="s">
        <v>9</v>
      </c>
      <c r="D124">
        <v>35</v>
      </c>
      <c r="E124" t="s">
        <v>10</v>
      </c>
      <c r="F124" s="1">
        <v>45624</v>
      </c>
      <c r="G124" t="s">
        <v>19</v>
      </c>
      <c r="H124" t="s">
        <v>15</v>
      </c>
    </row>
    <row r="125" spans="1:8" x14ac:dyDescent="0.3">
      <c r="A125">
        <v>133</v>
      </c>
      <c r="B125" t="s">
        <v>83</v>
      </c>
      <c r="C125" t="s">
        <v>9</v>
      </c>
      <c r="D125">
        <v>44</v>
      </c>
      <c r="E125" t="s">
        <v>10</v>
      </c>
      <c r="F125" s="1">
        <v>45562</v>
      </c>
      <c r="G125" t="s">
        <v>19</v>
      </c>
      <c r="H125" t="s">
        <v>12</v>
      </c>
    </row>
    <row r="126" spans="1:8" x14ac:dyDescent="0.3">
      <c r="A126">
        <v>139</v>
      </c>
      <c r="B126" t="s">
        <v>89</v>
      </c>
      <c r="C126" t="s">
        <v>17</v>
      </c>
      <c r="D126">
        <v>18</v>
      </c>
      <c r="E126" t="s">
        <v>36</v>
      </c>
      <c r="F126" s="1">
        <v>45609</v>
      </c>
      <c r="G126" t="s">
        <v>19</v>
      </c>
      <c r="H126" t="s">
        <v>15</v>
      </c>
    </row>
    <row r="127" spans="1:8" x14ac:dyDescent="0.3">
      <c r="A127">
        <v>140</v>
      </c>
      <c r="B127" t="s">
        <v>80</v>
      </c>
      <c r="C127" t="s">
        <v>9</v>
      </c>
      <c r="D127">
        <v>35</v>
      </c>
      <c r="E127" t="s">
        <v>26</v>
      </c>
      <c r="F127" s="1">
        <v>45369</v>
      </c>
      <c r="G127" t="s">
        <v>19</v>
      </c>
      <c r="H127" t="s">
        <v>12</v>
      </c>
    </row>
    <row r="128" spans="1:8" x14ac:dyDescent="0.3">
      <c r="A128">
        <v>147</v>
      </c>
      <c r="B128" t="s">
        <v>33</v>
      </c>
      <c r="C128" t="s">
        <v>9</v>
      </c>
      <c r="D128">
        <v>48</v>
      </c>
      <c r="E128" t="s">
        <v>26</v>
      </c>
      <c r="F128" s="1">
        <v>45599</v>
      </c>
      <c r="G128" t="s">
        <v>19</v>
      </c>
      <c r="H128" t="s">
        <v>15</v>
      </c>
    </row>
    <row r="129" spans="1:8" x14ac:dyDescent="0.3">
      <c r="A129">
        <v>149</v>
      </c>
      <c r="B129" t="s">
        <v>109</v>
      </c>
      <c r="C129" t="s">
        <v>17</v>
      </c>
      <c r="D129">
        <v>29</v>
      </c>
      <c r="E129" t="s">
        <v>18</v>
      </c>
      <c r="F129" s="1">
        <v>45038</v>
      </c>
      <c r="G129" t="s">
        <v>19</v>
      </c>
      <c r="H129" t="s">
        <v>12</v>
      </c>
    </row>
    <row r="130" spans="1:8" x14ac:dyDescent="0.3">
      <c r="A130">
        <v>150</v>
      </c>
      <c r="B130" t="s">
        <v>52</v>
      </c>
      <c r="C130" t="s">
        <v>9</v>
      </c>
      <c r="D130">
        <v>19</v>
      </c>
      <c r="E130" t="s">
        <v>18</v>
      </c>
      <c r="F130" s="1">
        <v>45464</v>
      </c>
      <c r="G130" t="s">
        <v>19</v>
      </c>
      <c r="H130"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7112-5A2B-40D6-AD7F-6B67459BE99A}">
  <dimension ref="A1:D11"/>
  <sheetViews>
    <sheetView workbookViewId="0"/>
  </sheetViews>
  <sheetFormatPr defaultRowHeight="14.4" x14ac:dyDescent="0.3"/>
  <cols>
    <col min="1" max="1" width="11.33203125" bestFit="1" customWidth="1"/>
    <col min="2" max="2" width="14.5546875" bestFit="1" customWidth="1"/>
    <col min="3" max="3" width="14.77734375" bestFit="1" customWidth="1"/>
    <col min="4" max="4" width="17.88671875" bestFit="1" customWidth="1"/>
  </cols>
  <sheetData>
    <row r="1" spans="1:4" x14ac:dyDescent="0.3">
      <c r="A1" t="s">
        <v>110</v>
      </c>
      <c r="B1" t="s">
        <v>111</v>
      </c>
      <c r="C1" t="s">
        <v>112</v>
      </c>
      <c r="D1" t="s">
        <v>113</v>
      </c>
    </row>
    <row r="2" spans="1:4" x14ac:dyDescent="0.3">
      <c r="A2">
        <v>1</v>
      </c>
      <c r="B2" t="s">
        <v>114</v>
      </c>
      <c r="C2" t="s">
        <v>115</v>
      </c>
      <c r="D2">
        <v>6</v>
      </c>
    </row>
    <row r="3" spans="1:4" x14ac:dyDescent="0.3">
      <c r="A3">
        <v>2</v>
      </c>
      <c r="B3" t="s">
        <v>116</v>
      </c>
      <c r="C3" t="s">
        <v>117</v>
      </c>
      <c r="D3">
        <v>4</v>
      </c>
    </row>
    <row r="4" spans="1:4" x14ac:dyDescent="0.3">
      <c r="A4">
        <v>3</v>
      </c>
      <c r="B4" t="s">
        <v>118</v>
      </c>
      <c r="C4" t="s">
        <v>119</v>
      </c>
      <c r="D4">
        <v>7</v>
      </c>
    </row>
    <row r="5" spans="1:4" x14ac:dyDescent="0.3">
      <c r="A5">
        <v>4</v>
      </c>
      <c r="B5" t="s">
        <v>120</v>
      </c>
      <c r="C5" t="s">
        <v>121</v>
      </c>
      <c r="D5">
        <v>3</v>
      </c>
    </row>
    <row r="6" spans="1:4" x14ac:dyDescent="0.3">
      <c r="A6">
        <v>5</v>
      </c>
      <c r="B6" t="s">
        <v>122</v>
      </c>
      <c r="C6" t="s">
        <v>123</v>
      </c>
      <c r="D6">
        <v>8</v>
      </c>
    </row>
    <row r="7" spans="1:4" x14ac:dyDescent="0.3">
      <c r="A7">
        <v>6</v>
      </c>
      <c r="B7" t="s">
        <v>124</v>
      </c>
      <c r="C7" t="s">
        <v>125</v>
      </c>
      <c r="D7">
        <v>5</v>
      </c>
    </row>
    <row r="8" spans="1:4" x14ac:dyDescent="0.3">
      <c r="A8">
        <v>7</v>
      </c>
      <c r="B8" t="s">
        <v>126</v>
      </c>
      <c r="C8" t="s">
        <v>127</v>
      </c>
      <c r="D8">
        <v>4</v>
      </c>
    </row>
    <row r="9" spans="1:4" x14ac:dyDescent="0.3">
      <c r="A9">
        <v>8</v>
      </c>
      <c r="B9" t="s">
        <v>128</v>
      </c>
      <c r="C9" t="s">
        <v>129</v>
      </c>
      <c r="D9">
        <v>6</v>
      </c>
    </row>
    <row r="10" spans="1:4" x14ac:dyDescent="0.3">
      <c r="A10">
        <v>9</v>
      </c>
      <c r="B10" t="s">
        <v>130</v>
      </c>
      <c r="C10" t="s">
        <v>131</v>
      </c>
      <c r="D10">
        <v>3</v>
      </c>
    </row>
    <row r="11" spans="1:4" x14ac:dyDescent="0.3">
      <c r="A11">
        <v>10</v>
      </c>
      <c r="B11" t="s">
        <v>132</v>
      </c>
      <c r="C11" t="s">
        <v>133</v>
      </c>
      <c r="D11">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3A08-C552-4A29-94DE-D9914D3FAEF8}">
  <dimension ref="A3:H45"/>
  <sheetViews>
    <sheetView tabSelected="1" workbookViewId="0">
      <selection activeCell="A25" sqref="A25"/>
    </sheetView>
  </sheetViews>
  <sheetFormatPr defaultRowHeight="14.4" x14ac:dyDescent="0.3"/>
  <cols>
    <col min="1" max="1" width="12.5546875" bestFit="1" customWidth="1"/>
    <col min="2" max="2" width="14.21875" bestFit="1" customWidth="1"/>
    <col min="3" max="3" width="10.33203125" bestFit="1" customWidth="1"/>
    <col min="4" max="4" width="18.6640625" bestFit="1" customWidth="1"/>
    <col min="5" max="5" width="14.21875" bestFit="1" customWidth="1"/>
    <col min="6" max="6" width="10.33203125" bestFit="1" customWidth="1"/>
    <col min="7" max="7" width="16.44140625" bestFit="1" customWidth="1"/>
    <col min="8" max="8" width="21.109375" bestFit="1" customWidth="1"/>
    <col min="9" max="9" width="12.5546875" bestFit="1" customWidth="1"/>
    <col min="10" max="10" width="21.109375" bestFit="1" customWidth="1"/>
    <col min="11" max="141" width="10.33203125" bestFit="1" customWidth="1"/>
    <col min="142" max="142" width="10.77734375" bestFit="1" customWidth="1"/>
  </cols>
  <sheetData>
    <row r="3" spans="1:8" x14ac:dyDescent="0.3">
      <c r="A3" s="2" t="s">
        <v>153</v>
      </c>
      <c r="B3" t="s">
        <v>154</v>
      </c>
      <c r="D3" s="2" t="s">
        <v>153</v>
      </c>
      <c r="E3" t="s">
        <v>154</v>
      </c>
    </row>
    <row r="4" spans="1:8" x14ac:dyDescent="0.3">
      <c r="A4" s="3" t="s">
        <v>155</v>
      </c>
      <c r="B4">
        <v>91000</v>
      </c>
      <c r="D4" s="3" t="s">
        <v>11</v>
      </c>
      <c r="E4">
        <v>432000</v>
      </c>
    </row>
    <row r="5" spans="1:8" x14ac:dyDescent="0.3">
      <c r="A5" s="3" t="s">
        <v>156</v>
      </c>
      <c r="B5">
        <v>65000</v>
      </c>
      <c r="D5" s="3" t="s">
        <v>19</v>
      </c>
      <c r="E5">
        <v>422000</v>
      </c>
    </row>
    <row r="6" spans="1:8" x14ac:dyDescent="0.3">
      <c r="A6" s="3" t="s">
        <v>157</v>
      </c>
      <c r="B6">
        <v>88000</v>
      </c>
      <c r="D6" s="3" t="s">
        <v>152</v>
      </c>
      <c r="E6">
        <v>854000</v>
      </c>
    </row>
    <row r="7" spans="1:8" x14ac:dyDescent="0.3">
      <c r="A7" s="3" t="s">
        <v>158</v>
      </c>
      <c r="B7">
        <v>65000</v>
      </c>
    </row>
    <row r="8" spans="1:8" x14ac:dyDescent="0.3">
      <c r="A8" s="3" t="s">
        <v>159</v>
      </c>
      <c r="B8">
        <v>57000</v>
      </c>
    </row>
    <row r="9" spans="1:8" x14ac:dyDescent="0.3">
      <c r="A9" s="3" t="s">
        <v>160</v>
      </c>
      <c r="B9">
        <v>87000</v>
      </c>
    </row>
    <row r="10" spans="1:8" x14ac:dyDescent="0.3">
      <c r="A10" s="3" t="s">
        <v>161</v>
      </c>
      <c r="B10">
        <v>70000</v>
      </c>
    </row>
    <row r="11" spans="1:8" x14ac:dyDescent="0.3">
      <c r="A11" s="3" t="s">
        <v>162</v>
      </c>
      <c r="B11">
        <v>97000</v>
      </c>
      <c r="D11" s="2" t="s">
        <v>153</v>
      </c>
      <c r="E11" t="s">
        <v>154</v>
      </c>
      <c r="G11" s="2" t="s">
        <v>153</v>
      </c>
      <c r="H11" t="s">
        <v>167</v>
      </c>
    </row>
    <row r="12" spans="1:8" x14ac:dyDescent="0.3">
      <c r="A12" s="3" t="s">
        <v>163</v>
      </c>
      <c r="B12">
        <v>46000</v>
      </c>
      <c r="D12" s="3" t="s">
        <v>14</v>
      </c>
      <c r="E12">
        <v>185000</v>
      </c>
      <c r="G12" s="3" t="s">
        <v>127</v>
      </c>
      <c r="H12">
        <v>108</v>
      </c>
    </row>
    <row r="13" spans="1:8" x14ac:dyDescent="0.3">
      <c r="A13" s="3" t="s">
        <v>164</v>
      </c>
      <c r="B13">
        <v>38000</v>
      </c>
      <c r="D13" s="3" t="s">
        <v>18</v>
      </c>
      <c r="E13">
        <v>136000</v>
      </c>
      <c r="G13" s="3" t="s">
        <v>140</v>
      </c>
      <c r="H13">
        <v>107</v>
      </c>
    </row>
    <row r="14" spans="1:8" x14ac:dyDescent="0.3">
      <c r="A14" s="3" t="s">
        <v>165</v>
      </c>
      <c r="B14">
        <v>51000</v>
      </c>
      <c r="D14" s="3" t="s">
        <v>10</v>
      </c>
      <c r="E14">
        <v>248000</v>
      </c>
      <c r="G14" s="3" t="s">
        <v>131</v>
      </c>
      <c r="H14">
        <v>76</v>
      </c>
    </row>
    <row r="15" spans="1:8" x14ac:dyDescent="0.3">
      <c r="A15" s="3" t="s">
        <v>166</v>
      </c>
      <c r="B15">
        <v>99000</v>
      </c>
      <c r="D15" s="3" t="s">
        <v>36</v>
      </c>
      <c r="E15">
        <v>81000</v>
      </c>
      <c r="G15" s="3" t="s">
        <v>115</v>
      </c>
      <c r="H15">
        <v>72</v>
      </c>
    </row>
    <row r="16" spans="1:8" x14ac:dyDescent="0.3">
      <c r="A16" s="3" t="s">
        <v>152</v>
      </c>
      <c r="B16">
        <v>854000</v>
      </c>
      <c r="D16" s="3" t="s">
        <v>26</v>
      </c>
      <c r="E16">
        <v>204000</v>
      </c>
      <c r="G16" s="3" t="s">
        <v>152</v>
      </c>
      <c r="H16">
        <v>363</v>
      </c>
    </row>
    <row r="17" spans="2:8" x14ac:dyDescent="0.3">
      <c r="D17" s="3" t="s">
        <v>152</v>
      </c>
      <c r="E17">
        <v>854000</v>
      </c>
    </row>
    <row r="20" spans="2:8" x14ac:dyDescent="0.3">
      <c r="B20" t="s">
        <v>154</v>
      </c>
      <c r="D20" t="s">
        <v>168</v>
      </c>
      <c r="G20" t="s">
        <v>169</v>
      </c>
    </row>
    <row r="21" spans="2:8" x14ac:dyDescent="0.3">
      <c r="B21" s="6">
        <v>854000</v>
      </c>
      <c r="D21">
        <v>129</v>
      </c>
      <c r="G21">
        <v>20</v>
      </c>
    </row>
    <row r="24" spans="2:8" x14ac:dyDescent="0.3">
      <c r="D24" t="s">
        <v>170</v>
      </c>
      <c r="G24" s="2" t="s">
        <v>153</v>
      </c>
      <c r="H24" t="s">
        <v>167</v>
      </c>
    </row>
    <row r="25" spans="2:8" x14ac:dyDescent="0.3">
      <c r="D25">
        <f>H45/20</f>
        <v>26.1</v>
      </c>
      <c r="G25" s="3">
        <v>1</v>
      </c>
      <c r="H25">
        <v>18</v>
      </c>
    </row>
    <row r="26" spans="2:8" x14ac:dyDescent="0.3">
      <c r="G26" s="3">
        <v>2</v>
      </c>
      <c r="H26">
        <v>30</v>
      </c>
    </row>
    <row r="27" spans="2:8" x14ac:dyDescent="0.3">
      <c r="G27" s="3">
        <v>3</v>
      </c>
      <c r="H27">
        <v>24</v>
      </c>
    </row>
    <row r="28" spans="2:8" x14ac:dyDescent="0.3">
      <c r="G28" s="3">
        <v>4</v>
      </c>
      <c r="H28">
        <v>25</v>
      </c>
    </row>
    <row r="29" spans="2:8" x14ac:dyDescent="0.3">
      <c r="G29" s="3">
        <v>5</v>
      </c>
      <c r="H29">
        <v>24</v>
      </c>
    </row>
    <row r="30" spans="2:8" x14ac:dyDescent="0.3">
      <c r="G30" s="3">
        <v>6</v>
      </c>
      <c r="H30">
        <v>23</v>
      </c>
    </row>
    <row r="31" spans="2:8" x14ac:dyDescent="0.3">
      <c r="G31" s="3">
        <v>7</v>
      </c>
      <c r="H31">
        <v>33</v>
      </c>
    </row>
    <row r="32" spans="2:8" x14ac:dyDescent="0.3">
      <c r="G32" s="3">
        <v>8</v>
      </c>
      <c r="H32">
        <v>27</v>
      </c>
    </row>
    <row r="33" spans="7:8" x14ac:dyDescent="0.3">
      <c r="G33" s="3">
        <v>9</v>
      </c>
      <c r="H33">
        <v>28</v>
      </c>
    </row>
    <row r="34" spans="7:8" x14ac:dyDescent="0.3">
      <c r="G34" s="3">
        <v>10</v>
      </c>
      <c r="H34">
        <v>28</v>
      </c>
    </row>
    <row r="35" spans="7:8" x14ac:dyDescent="0.3">
      <c r="G35" s="3">
        <v>11</v>
      </c>
      <c r="H35">
        <v>24</v>
      </c>
    </row>
    <row r="36" spans="7:8" x14ac:dyDescent="0.3">
      <c r="G36" s="3">
        <v>12</v>
      </c>
      <c r="H36">
        <v>19</v>
      </c>
    </row>
    <row r="37" spans="7:8" x14ac:dyDescent="0.3">
      <c r="G37" s="3">
        <v>13</v>
      </c>
      <c r="H37">
        <v>29</v>
      </c>
    </row>
    <row r="38" spans="7:8" x14ac:dyDescent="0.3">
      <c r="G38" s="3">
        <v>14</v>
      </c>
      <c r="H38">
        <v>23</v>
      </c>
    </row>
    <row r="39" spans="7:8" x14ac:dyDescent="0.3">
      <c r="G39" s="3">
        <v>15</v>
      </c>
      <c r="H39">
        <v>24</v>
      </c>
    </row>
    <row r="40" spans="7:8" x14ac:dyDescent="0.3">
      <c r="G40" s="3">
        <v>16</v>
      </c>
      <c r="H40">
        <v>23</v>
      </c>
    </row>
    <row r="41" spans="7:8" x14ac:dyDescent="0.3">
      <c r="G41" s="3">
        <v>17</v>
      </c>
      <c r="H41">
        <v>33</v>
      </c>
    </row>
    <row r="42" spans="7:8" x14ac:dyDescent="0.3">
      <c r="G42" s="3">
        <v>18</v>
      </c>
      <c r="H42">
        <v>30</v>
      </c>
    </row>
    <row r="43" spans="7:8" x14ac:dyDescent="0.3">
      <c r="G43" s="3">
        <v>19</v>
      </c>
      <c r="H43">
        <v>23</v>
      </c>
    </row>
    <row r="44" spans="7:8" x14ac:dyDescent="0.3">
      <c r="G44" s="3">
        <v>20</v>
      </c>
      <c r="H44">
        <v>34</v>
      </c>
    </row>
    <row r="45" spans="7:8" x14ac:dyDescent="0.3">
      <c r="G45" s="3" t="s">
        <v>152</v>
      </c>
      <c r="H45">
        <v>522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2AE8-AFFA-4568-8F91-5983E1C72089}">
  <dimension ref="A1:U44"/>
  <sheetViews>
    <sheetView showGridLines="0" showRowColHeaders="0" zoomScale="70" zoomScaleNormal="70" workbookViewId="0">
      <selection activeCell="Y30" sqref="Y30"/>
    </sheetView>
  </sheetViews>
  <sheetFormatPr defaultRowHeight="14.4" x14ac:dyDescent="0.3"/>
  <sheetData>
    <row r="1" spans="1:21" x14ac:dyDescent="0.3">
      <c r="A1" s="4"/>
      <c r="B1" s="4"/>
      <c r="C1" s="4"/>
      <c r="D1" s="4"/>
      <c r="E1" s="4"/>
      <c r="F1" s="4"/>
      <c r="G1" s="4"/>
      <c r="H1" s="4"/>
      <c r="I1" s="4"/>
      <c r="J1" s="4"/>
      <c r="K1" s="4"/>
      <c r="L1" s="4"/>
      <c r="M1" s="4"/>
      <c r="N1" s="4"/>
      <c r="O1" s="4"/>
      <c r="P1" s="4"/>
      <c r="Q1" s="4"/>
      <c r="R1" s="4"/>
      <c r="S1" s="4"/>
      <c r="T1" s="4"/>
    </row>
    <row r="2" spans="1:21" ht="23.4" customHeight="1" x14ac:dyDescent="0.55000000000000004">
      <c r="A2" s="4"/>
      <c r="B2" s="4"/>
      <c r="C2" s="4"/>
      <c r="D2" s="4"/>
      <c r="E2" s="4"/>
      <c r="F2" s="4"/>
      <c r="G2" s="7"/>
      <c r="H2" s="8" t="s">
        <v>171</v>
      </c>
      <c r="I2" s="7"/>
      <c r="J2" s="4"/>
      <c r="K2" s="4"/>
      <c r="L2" s="4"/>
      <c r="M2" s="4"/>
      <c r="N2" s="4"/>
      <c r="O2" s="4"/>
      <c r="P2" s="4"/>
      <c r="Q2" s="4"/>
      <c r="R2" s="4"/>
      <c r="S2" s="4"/>
      <c r="T2" s="4"/>
    </row>
    <row r="3" spans="1:21" x14ac:dyDescent="0.3">
      <c r="A3" s="4"/>
      <c r="B3" s="4"/>
      <c r="C3" s="4"/>
      <c r="D3" s="4"/>
      <c r="E3" s="4"/>
      <c r="F3" s="4"/>
      <c r="G3" s="4"/>
      <c r="H3" s="4"/>
      <c r="I3" s="4"/>
      <c r="J3" s="4"/>
      <c r="K3" s="4"/>
      <c r="L3" s="4"/>
      <c r="M3" s="4"/>
      <c r="N3" s="4"/>
      <c r="O3" s="4"/>
      <c r="P3" s="4"/>
      <c r="Q3" s="4"/>
      <c r="R3" s="4"/>
      <c r="S3" s="4"/>
      <c r="T3" s="4"/>
    </row>
    <row r="4" spans="1:21" x14ac:dyDescent="0.3">
      <c r="A4" s="5"/>
      <c r="B4" s="5"/>
      <c r="C4" s="5"/>
      <c r="D4" s="5"/>
      <c r="E4" s="5"/>
      <c r="F4" s="5"/>
      <c r="G4" s="5"/>
      <c r="H4" s="5"/>
      <c r="I4" s="5"/>
      <c r="J4" s="5"/>
      <c r="K4" s="5"/>
      <c r="L4" s="5"/>
      <c r="M4" s="5"/>
      <c r="N4" s="5"/>
      <c r="O4" s="5"/>
      <c r="P4" s="5"/>
      <c r="Q4" s="5"/>
      <c r="R4" s="5"/>
      <c r="S4" s="5"/>
      <c r="T4" s="5"/>
    </row>
    <row r="5" spans="1:21" x14ac:dyDescent="0.3">
      <c r="A5" s="5"/>
      <c r="B5" s="5"/>
      <c r="C5" s="5"/>
      <c r="D5" s="5"/>
      <c r="E5" s="5"/>
      <c r="F5" s="5"/>
      <c r="G5" s="5"/>
      <c r="H5" s="5"/>
      <c r="I5" s="5"/>
      <c r="J5" s="5"/>
      <c r="K5" s="5"/>
      <c r="L5" s="5"/>
      <c r="M5" s="5"/>
      <c r="N5" s="5"/>
      <c r="O5" s="5"/>
      <c r="P5" s="5"/>
      <c r="Q5" s="5"/>
      <c r="R5" s="5"/>
      <c r="S5" s="5"/>
      <c r="T5" s="5"/>
    </row>
    <row r="6" spans="1:21" x14ac:dyDescent="0.3">
      <c r="A6" s="5"/>
      <c r="B6" s="5"/>
      <c r="C6" s="5"/>
      <c r="D6" s="5"/>
      <c r="E6" s="5"/>
      <c r="F6" s="5"/>
      <c r="G6" s="5"/>
      <c r="H6" s="5"/>
      <c r="I6" s="5"/>
      <c r="J6" s="5"/>
      <c r="K6" s="5"/>
      <c r="L6" s="5"/>
      <c r="M6" s="5"/>
      <c r="N6" s="5"/>
      <c r="O6" s="5"/>
      <c r="P6" s="5"/>
      <c r="Q6" s="5"/>
      <c r="R6" s="5"/>
      <c r="S6" s="5"/>
      <c r="T6" s="5"/>
    </row>
    <row r="7" spans="1:21" x14ac:dyDescent="0.3">
      <c r="A7" s="5"/>
      <c r="B7" s="5"/>
      <c r="C7" s="5"/>
      <c r="D7" s="5"/>
      <c r="E7" s="5"/>
      <c r="F7" s="5"/>
      <c r="G7" s="5"/>
      <c r="H7" s="5"/>
      <c r="I7" s="5"/>
      <c r="J7" s="5"/>
      <c r="K7" s="5"/>
      <c r="L7" s="5"/>
      <c r="M7" s="5"/>
      <c r="N7" s="5"/>
      <c r="O7" s="5"/>
      <c r="P7" s="5"/>
      <c r="Q7" s="5"/>
      <c r="R7" s="5"/>
      <c r="S7" s="5"/>
      <c r="T7" s="5"/>
    </row>
    <row r="8" spans="1:21" x14ac:dyDescent="0.3">
      <c r="A8" s="5"/>
      <c r="B8" s="5"/>
      <c r="C8" s="5"/>
      <c r="D8" s="5"/>
      <c r="E8" s="5"/>
      <c r="F8" s="5"/>
      <c r="G8" s="5"/>
      <c r="H8" s="5"/>
      <c r="I8" s="5"/>
      <c r="J8" s="5"/>
      <c r="K8" s="5"/>
      <c r="L8" s="5"/>
      <c r="M8" s="5"/>
      <c r="N8" s="5"/>
      <c r="O8" s="5"/>
      <c r="P8" s="5"/>
      <c r="Q8" s="5"/>
      <c r="R8" s="5"/>
      <c r="S8" s="5"/>
      <c r="T8" s="5"/>
    </row>
    <row r="9" spans="1:21" x14ac:dyDescent="0.3">
      <c r="A9" s="5"/>
      <c r="B9" s="5"/>
      <c r="C9" s="5"/>
      <c r="D9" s="5"/>
      <c r="E9" s="5"/>
      <c r="F9" s="5"/>
      <c r="G9" s="5"/>
      <c r="H9" s="5"/>
      <c r="I9" s="5"/>
      <c r="J9" s="5"/>
      <c r="K9" s="5"/>
      <c r="L9" s="5"/>
      <c r="M9" s="5"/>
      <c r="N9" s="5"/>
      <c r="O9" s="5"/>
      <c r="P9" s="5"/>
      <c r="Q9" s="5"/>
      <c r="R9" s="5"/>
      <c r="S9" s="5"/>
      <c r="T9" s="5"/>
    </row>
    <row r="10" spans="1:21" x14ac:dyDescent="0.3">
      <c r="A10" s="5"/>
      <c r="B10" s="5"/>
      <c r="C10" s="5"/>
      <c r="D10" s="5"/>
      <c r="E10" s="5"/>
      <c r="F10" s="5"/>
      <c r="G10" s="5"/>
      <c r="H10" s="5"/>
      <c r="I10" s="5"/>
      <c r="J10" s="5"/>
      <c r="K10" s="5"/>
      <c r="L10" s="5"/>
      <c r="M10" s="5"/>
      <c r="N10" s="5"/>
      <c r="O10" s="5"/>
      <c r="P10" s="5"/>
      <c r="Q10" s="5"/>
      <c r="R10" s="5"/>
      <c r="S10" s="5"/>
      <c r="T10" s="5"/>
    </row>
    <row r="11" spans="1:21" x14ac:dyDescent="0.3">
      <c r="A11" s="5"/>
      <c r="B11" s="5"/>
      <c r="C11" s="5"/>
      <c r="D11" s="5"/>
      <c r="E11" s="5"/>
      <c r="F11" s="5"/>
      <c r="G11" s="5"/>
      <c r="H11" s="5"/>
      <c r="I11" s="5"/>
      <c r="J11" s="5"/>
      <c r="K11" s="5"/>
      <c r="L11" s="5"/>
      <c r="M11" s="5"/>
      <c r="N11" s="5"/>
      <c r="O11" s="5"/>
      <c r="P11" s="5"/>
      <c r="Q11" s="5"/>
      <c r="R11" s="5"/>
      <c r="S11" s="5"/>
      <c r="T11" s="5"/>
    </row>
    <row r="12" spans="1:21" x14ac:dyDescent="0.3">
      <c r="A12" s="5"/>
      <c r="B12" s="5"/>
      <c r="C12" s="5"/>
      <c r="D12" s="5"/>
      <c r="E12" s="5"/>
      <c r="F12" s="5"/>
      <c r="G12" s="5"/>
      <c r="H12" s="5"/>
      <c r="I12" s="5"/>
      <c r="J12" s="5"/>
      <c r="K12" s="5"/>
      <c r="L12" s="5"/>
      <c r="M12" s="5"/>
      <c r="N12" s="5"/>
      <c r="O12" s="5"/>
      <c r="P12" s="5"/>
      <c r="Q12" s="5"/>
      <c r="R12" s="5"/>
      <c r="S12" s="5"/>
      <c r="T12" s="5"/>
    </row>
    <row r="13" spans="1:21" x14ac:dyDescent="0.3">
      <c r="A13" s="5"/>
      <c r="B13" s="5"/>
      <c r="C13" s="5"/>
      <c r="D13" s="5"/>
      <c r="E13" s="5"/>
      <c r="F13" s="5"/>
      <c r="G13" s="5"/>
      <c r="H13" s="5"/>
      <c r="I13" s="5"/>
      <c r="J13" s="5"/>
      <c r="K13" s="5"/>
      <c r="L13" s="5"/>
      <c r="M13" s="5"/>
      <c r="N13" s="5"/>
      <c r="O13" s="5"/>
      <c r="P13" s="5"/>
      <c r="Q13" s="5"/>
      <c r="R13" s="5"/>
      <c r="S13" s="5"/>
      <c r="T13" s="5"/>
    </row>
    <row r="14" spans="1:21" x14ac:dyDescent="0.3">
      <c r="A14" s="5"/>
      <c r="B14" s="5"/>
      <c r="C14" s="5"/>
      <c r="D14" s="5"/>
      <c r="E14" s="5"/>
      <c r="F14" s="5"/>
      <c r="G14" s="5"/>
      <c r="H14" s="5"/>
      <c r="I14" s="5"/>
      <c r="J14" s="5"/>
      <c r="K14" s="5"/>
      <c r="L14" s="5"/>
      <c r="M14" s="5"/>
      <c r="N14" s="5"/>
      <c r="O14" s="5"/>
      <c r="P14" s="5"/>
      <c r="Q14" s="5"/>
      <c r="R14" s="5"/>
      <c r="S14" s="5"/>
      <c r="T14" s="5"/>
      <c r="U14" t="s">
        <v>172</v>
      </c>
    </row>
    <row r="15" spans="1:21" x14ac:dyDescent="0.3">
      <c r="A15" s="5"/>
      <c r="B15" s="5"/>
      <c r="C15" s="5"/>
      <c r="D15" s="5"/>
      <c r="E15" s="5"/>
      <c r="F15" s="5"/>
      <c r="G15" s="5"/>
      <c r="H15" s="5"/>
      <c r="I15" s="5"/>
      <c r="J15" s="5"/>
      <c r="K15" s="5"/>
      <c r="L15" s="5"/>
      <c r="M15" s="5"/>
      <c r="N15" s="5"/>
      <c r="O15" s="5"/>
      <c r="P15" s="5"/>
      <c r="Q15" s="5"/>
      <c r="R15" s="5"/>
      <c r="S15" s="5"/>
      <c r="T15" s="5"/>
    </row>
    <row r="16" spans="1:21" x14ac:dyDescent="0.3">
      <c r="A16" s="5"/>
      <c r="B16" s="5"/>
      <c r="C16" s="5"/>
      <c r="D16" s="5"/>
      <c r="E16" s="5"/>
      <c r="F16" s="5"/>
      <c r="G16" s="5"/>
      <c r="H16" s="5"/>
      <c r="I16" s="5"/>
      <c r="J16" s="5"/>
      <c r="K16" s="5"/>
      <c r="L16" s="5"/>
      <c r="M16" s="5"/>
      <c r="N16" s="5"/>
      <c r="O16" s="5"/>
      <c r="P16" s="5"/>
      <c r="Q16" s="5"/>
      <c r="R16" s="5"/>
      <c r="S16" s="5"/>
      <c r="T16" s="5"/>
    </row>
    <row r="17" spans="1:20" x14ac:dyDescent="0.3">
      <c r="A17" s="5"/>
      <c r="B17" s="5"/>
      <c r="C17" s="5"/>
      <c r="D17" s="5"/>
      <c r="E17" s="5"/>
      <c r="F17" s="5"/>
      <c r="G17" s="5"/>
      <c r="H17" s="5"/>
      <c r="I17" s="5"/>
      <c r="J17" s="5"/>
      <c r="K17" s="5"/>
      <c r="L17" s="5"/>
      <c r="M17" s="5"/>
      <c r="N17" s="5"/>
      <c r="O17" s="5"/>
      <c r="P17" s="5"/>
      <c r="Q17" s="5"/>
      <c r="R17" s="5"/>
      <c r="S17" s="5"/>
      <c r="T17" s="5"/>
    </row>
    <row r="18" spans="1:20" x14ac:dyDescent="0.3">
      <c r="A18" s="5"/>
      <c r="B18" s="5"/>
      <c r="C18" s="5"/>
      <c r="D18" s="5"/>
      <c r="E18" s="5"/>
      <c r="F18" s="5"/>
      <c r="G18" s="5"/>
      <c r="H18" s="5"/>
      <c r="I18" s="5"/>
      <c r="J18" s="5"/>
      <c r="K18" s="5"/>
      <c r="L18" s="5"/>
      <c r="M18" s="5"/>
      <c r="N18" s="5"/>
      <c r="O18" s="5"/>
      <c r="P18" s="5"/>
      <c r="Q18" s="5"/>
      <c r="R18" s="5"/>
      <c r="S18" s="5"/>
      <c r="T18" s="5"/>
    </row>
    <row r="19" spans="1:20" x14ac:dyDescent="0.3">
      <c r="A19" s="5"/>
      <c r="B19" s="5"/>
      <c r="C19" s="5"/>
      <c r="D19" s="5"/>
      <c r="E19" s="5"/>
      <c r="F19" s="5"/>
      <c r="G19" s="5"/>
      <c r="H19" s="5"/>
      <c r="I19" s="5"/>
      <c r="J19" s="5"/>
      <c r="K19" s="5"/>
      <c r="L19" s="5"/>
      <c r="M19" s="5"/>
      <c r="N19" s="5"/>
      <c r="O19" s="5"/>
      <c r="P19" s="5"/>
      <c r="Q19" s="5"/>
      <c r="R19" s="5"/>
      <c r="S19" s="5"/>
      <c r="T19" s="5"/>
    </row>
    <row r="20" spans="1:20" x14ac:dyDescent="0.3">
      <c r="A20" s="5"/>
      <c r="B20" s="5"/>
      <c r="C20" s="5"/>
      <c r="D20" s="5"/>
      <c r="E20" s="5"/>
      <c r="F20" s="5"/>
      <c r="G20" s="5"/>
      <c r="H20" s="5"/>
      <c r="I20" s="5"/>
      <c r="J20" s="5"/>
      <c r="K20" s="5"/>
      <c r="L20" s="5"/>
      <c r="M20" s="5"/>
      <c r="N20" s="5"/>
      <c r="O20" s="5"/>
      <c r="P20" s="5"/>
      <c r="Q20" s="5"/>
      <c r="R20" s="5"/>
      <c r="S20" s="5"/>
      <c r="T20" s="5"/>
    </row>
    <row r="21" spans="1:20" x14ac:dyDescent="0.3">
      <c r="A21" s="5"/>
      <c r="B21" s="5"/>
      <c r="C21" s="5"/>
      <c r="D21" s="5"/>
      <c r="E21" s="5"/>
      <c r="F21" s="5"/>
      <c r="G21" s="5"/>
      <c r="H21" s="5"/>
      <c r="I21" s="5"/>
      <c r="J21" s="5"/>
      <c r="K21" s="5"/>
      <c r="L21" s="5"/>
      <c r="M21" s="5"/>
      <c r="N21" s="5"/>
      <c r="O21" s="5"/>
      <c r="P21" s="5"/>
      <c r="Q21" s="5"/>
      <c r="R21" s="5"/>
      <c r="S21" s="5"/>
      <c r="T21" s="5"/>
    </row>
    <row r="22" spans="1:20" x14ac:dyDescent="0.3">
      <c r="A22" s="5"/>
      <c r="B22" s="5"/>
      <c r="C22" s="5"/>
      <c r="D22" s="5"/>
      <c r="E22" s="5"/>
      <c r="F22" s="5"/>
      <c r="G22" s="5"/>
      <c r="H22" s="5"/>
      <c r="I22" s="5"/>
      <c r="J22" s="5"/>
      <c r="K22" s="5"/>
      <c r="L22" s="5"/>
      <c r="M22" s="5"/>
      <c r="N22" s="5"/>
      <c r="O22" s="5"/>
      <c r="P22" s="5"/>
      <c r="Q22" s="5"/>
      <c r="R22" s="5"/>
      <c r="S22" s="5"/>
      <c r="T22" s="5"/>
    </row>
    <row r="23" spans="1:20" x14ac:dyDescent="0.3">
      <c r="A23" s="5"/>
      <c r="B23" s="5"/>
      <c r="C23" s="5"/>
      <c r="D23" s="5"/>
      <c r="E23" s="5"/>
      <c r="F23" s="5"/>
      <c r="G23" s="5"/>
      <c r="H23" s="5"/>
      <c r="I23" s="5"/>
      <c r="J23" s="5"/>
      <c r="K23" s="5"/>
      <c r="L23" s="5"/>
      <c r="M23" s="5"/>
      <c r="N23" s="5"/>
      <c r="O23" s="5"/>
      <c r="P23" s="5"/>
      <c r="Q23" s="5"/>
      <c r="R23" s="5"/>
      <c r="S23" s="5"/>
      <c r="T23" s="5"/>
    </row>
    <row r="24" spans="1:20" x14ac:dyDescent="0.3">
      <c r="A24" s="5"/>
      <c r="B24" s="5"/>
      <c r="C24" s="5"/>
      <c r="D24" s="5"/>
      <c r="E24" s="5"/>
      <c r="F24" s="5"/>
      <c r="G24" s="5"/>
      <c r="H24" s="5"/>
      <c r="I24" s="5"/>
      <c r="J24" s="5"/>
      <c r="K24" s="5"/>
      <c r="L24" s="5"/>
      <c r="M24" s="5"/>
      <c r="N24" s="5"/>
      <c r="O24" s="5"/>
      <c r="P24" s="5"/>
      <c r="Q24" s="5"/>
      <c r="R24" s="5"/>
      <c r="S24" s="5"/>
      <c r="T24" s="5"/>
    </row>
    <row r="25" spans="1:20" x14ac:dyDescent="0.3">
      <c r="A25" s="5"/>
      <c r="B25" s="5"/>
      <c r="C25" s="5"/>
      <c r="D25" s="5"/>
      <c r="E25" s="5"/>
      <c r="F25" s="5"/>
      <c r="G25" s="5"/>
      <c r="H25" s="5"/>
      <c r="I25" s="5"/>
      <c r="J25" s="5"/>
      <c r="K25" s="5"/>
      <c r="L25" s="5"/>
      <c r="M25" s="5"/>
      <c r="N25" s="5"/>
      <c r="O25" s="5"/>
      <c r="P25" s="5"/>
      <c r="Q25" s="5"/>
      <c r="R25" s="5"/>
      <c r="S25" s="5"/>
      <c r="T25" s="5"/>
    </row>
    <row r="26" spans="1:20" x14ac:dyDescent="0.3">
      <c r="A26" s="5"/>
      <c r="B26" s="5"/>
      <c r="C26" s="5"/>
      <c r="D26" s="5"/>
      <c r="E26" s="5"/>
      <c r="F26" s="5"/>
      <c r="G26" s="5"/>
      <c r="H26" s="5"/>
      <c r="I26" s="5"/>
      <c r="J26" s="5"/>
      <c r="K26" s="5"/>
      <c r="L26" s="5"/>
      <c r="M26" s="5"/>
      <c r="N26" s="5"/>
      <c r="O26" s="5"/>
      <c r="P26" s="5"/>
      <c r="Q26" s="5"/>
      <c r="R26" s="5"/>
      <c r="S26" s="5"/>
      <c r="T26" s="5"/>
    </row>
    <row r="27" spans="1:20" x14ac:dyDescent="0.3">
      <c r="A27" s="5"/>
      <c r="B27" s="5"/>
      <c r="C27" s="5"/>
      <c r="D27" s="5"/>
      <c r="E27" s="5"/>
      <c r="F27" s="5"/>
      <c r="G27" s="5"/>
      <c r="H27" s="5"/>
      <c r="I27" s="5"/>
      <c r="J27" s="5"/>
      <c r="K27" s="5"/>
      <c r="L27" s="5"/>
      <c r="M27" s="5"/>
      <c r="N27" s="5"/>
      <c r="O27" s="5"/>
      <c r="P27" s="5"/>
      <c r="Q27" s="5"/>
      <c r="R27" s="5"/>
      <c r="S27" s="5"/>
      <c r="T27" s="5"/>
    </row>
    <row r="28" spans="1:20" x14ac:dyDescent="0.3">
      <c r="A28" s="5"/>
      <c r="B28" s="5"/>
      <c r="C28" s="5"/>
      <c r="D28" s="5"/>
      <c r="E28" s="5"/>
      <c r="F28" s="5"/>
      <c r="G28" s="5"/>
      <c r="H28" s="5"/>
      <c r="I28" s="5"/>
      <c r="J28" s="5"/>
      <c r="K28" s="5"/>
      <c r="L28" s="5"/>
      <c r="M28" s="5"/>
      <c r="N28" s="5"/>
      <c r="O28" s="5"/>
      <c r="P28" s="5"/>
      <c r="Q28" s="5"/>
      <c r="R28" s="5"/>
      <c r="S28" s="5"/>
      <c r="T28" s="5"/>
    </row>
    <row r="29" spans="1:20" x14ac:dyDescent="0.3">
      <c r="A29" s="5"/>
      <c r="B29" s="5"/>
      <c r="C29" s="5"/>
      <c r="D29" s="5"/>
      <c r="E29" s="5"/>
      <c r="F29" s="5"/>
      <c r="G29" s="5"/>
      <c r="H29" s="5"/>
      <c r="I29" s="5"/>
      <c r="J29" s="5"/>
      <c r="K29" s="5"/>
      <c r="L29" s="5"/>
      <c r="M29" s="5"/>
      <c r="N29" s="5"/>
      <c r="O29" s="5"/>
      <c r="P29" s="5"/>
      <c r="Q29" s="5"/>
      <c r="R29" s="5"/>
      <c r="S29" s="5"/>
      <c r="T29" s="5"/>
    </row>
    <row r="30" spans="1:20" x14ac:dyDescent="0.3">
      <c r="A30" s="5"/>
      <c r="B30" s="5"/>
      <c r="C30" s="5"/>
      <c r="D30" s="5"/>
      <c r="E30" s="5"/>
      <c r="F30" s="5"/>
      <c r="G30" s="5"/>
      <c r="H30" s="5"/>
      <c r="I30" s="5"/>
      <c r="J30" s="5"/>
      <c r="K30" s="5"/>
      <c r="L30" s="5"/>
      <c r="M30" s="5"/>
      <c r="N30" s="5"/>
      <c r="O30" s="5"/>
      <c r="P30" s="5"/>
      <c r="Q30" s="5"/>
      <c r="R30" s="5"/>
      <c r="S30" s="5"/>
      <c r="T30" s="5"/>
    </row>
    <row r="31" spans="1:20" x14ac:dyDescent="0.3">
      <c r="A31" s="5"/>
      <c r="B31" s="5"/>
      <c r="C31" s="5"/>
      <c r="D31" s="5"/>
      <c r="E31" s="5"/>
      <c r="F31" s="5"/>
      <c r="G31" s="5"/>
      <c r="H31" s="5"/>
      <c r="I31" s="5"/>
      <c r="J31" s="5"/>
      <c r="K31" s="5"/>
      <c r="L31" s="5"/>
      <c r="M31" s="5"/>
      <c r="N31" s="5"/>
      <c r="O31" s="5"/>
      <c r="P31" s="5"/>
      <c r="Q31" s="5"/>
      <c r="R31" s="5"/>
      <c r="S31" s="5"/>
      <c r="T31" s="5"/>
    </row>
    <row r="32" spans="1:20" x14ac:dyDescent="0.3">
      <c r="A32" s="5"/>
      <c r="B32" s="5"/>
      <c r="C32" s="5"/>
      <c r="D32" s="5"/>
      <c r="E32" s="5"/>
      <c r="F32" s="5"/>
      <c r="G32" s="5"/>
      <c r="H32" s="5"/>
      <c r="I32" s="5"/>
      <c r="J32" s="5"/>
      <c r="K32" s="5"/>
      <c r="L32" s="5"/>
      <c r="M32" s="5"/>
      <c r="N32" s="5"/>
      <c r="O32" s="5"/>
      <c r="P32" s="5"/>
      <c r="Q32" s="5"/>
      <c r="R32" s="5"/>
      <c r="S32" s="5"/>
      <c r="T32" s="5"/>
    </row>
    <row r="33" spans="1:20" x14ac:dyDescent="0.3">
      <c r="A33" s="5"/>
      <c r="B33" s="5"/>
      <c r="C33" s="5"/>
      <c r="D33" s="5"/>
      <c r="E33" s="5"/>
      <c r="F33" s="5"/>
      <c r="G33" s="5"/>
      <c r="H33" s="5"/>
      <c r="I33" s="5"/>
      <c r="J33" s="5"/>
      <c r="K33" s="5"/>
      <c r="L33" s="5"/>
      <c r="M33" s="5"/>
      <c r="N33" s="5"/>
      <c r="O33" s="5"/>
      <c r="P33" s="5"/>
      <c r="Q33" s="5"/>
      <c r="R33" s="5"/>
      <c r="S33" s="5"/>
      <c r="T33" s="5"/>
    </row>
    <row r="34" spans="1:20" x14ac:dyDescent="0.3">
      <c r="A34" s="5"/>
      <c r="B34" s="5"/>
      <c r="C34" s="5"/>
      <c r="D34" s="5"/>
      <c r="E34" s="5"/>
      <c r="F34" s="5"/>
      <c r="G34" s="5"/>
      <c r="H34" s="5"/>
      <c r="I34" s="5"/>
      <c r="J34" s="5"/>
      <c r="K34" s="5"/>
      <c r="L34" s="5"/>
      <c r="M34" s="5"/>
      <c r="N34" s="5"/>
      <c r="O34" s="5"/>
      <c r="P34" s="5"/>
      <c r="Q34" s="5"/>
      <c r="R34" s="5"/>
      <c r="S34" s="5"/>
      <c r="T34" s="5"/>
    </row>
    <row r="35" spans="1:20" x14ac:dyDescent="0.3">
      <c r="A35" s="5"/>
      <c r="B35" s="5"/>
      <c r="C35" s="5"/>
      <c r="D35" s="5"/>
      <c r="E35" s="5"/>
      <c r="F35" s="5"/>
      <c r="G35" s="5"/>
      <c r="H35" s="5"/>
      <c r="I35" s="5"/>
      <c r="J35" s="5"/>
      <c r="K35" s="5"/>
      <c r="L35" s="5"/>
      <c r="M35" s="5"/>
      <c r="N35" s="5"/>
      <c r="O35" s="5"/>
      <c r="P35" s="5"/>
      <c r="Q35" s="5"/>
      <c r="R35" s="5"/>
      <c r="S35" s="5"/>
      <c r="T35" s="5"/>
    </row>
    <row r="36" spans="1:20" x14ac:dyDescent="0.3">
      <c r="A36" s="9"/>
      <c r="B36" s="9"/>
      <c r="C36" s="9"/>
      <c r="D36" s="9"/>
      <c r="E36" s="9"/>
      <c r="F36" s="9"/>
      <c r="G36" s="9"/>
      <c r="H36" s="9"/>
      <c r="I36" s="9"/>
      <c r="J36" s="9"/>
      <c r="K36" s="9"/>
      <c r="L36" s="9"/>
      <c r="M36" s="9"/>
      <c r="N36" s="9"/>
      <c r="O36" s="9"/>
      <c r="P36" s="9"/>
      <c r="Q36" s="9"/>
      <c r="R36" s="9"/>
      <c r="S36" s="9"/>
      <c r="T36" s="9"/>
    </row>
    <row r="37" spans="1:20" x14ac:dyDescent="0.3">
      <c r="A37" s="9"/>
      <c r="B37" s="9"/>
      <c r="C37" s="9"/>
      <c r="D37" s="9"/>
      <c r="E37" s="9"/>
      <c r="F37" s="9"/>
      <c r="G37" s="9"/>
      <c r="H37" s="9"/>
      <c r="I37" s="9"/>
      <c r="J37" s="9"/>
      <c r="K37" s="9"/>
      <c r="L37" s="9"/>
      <c r="M37" s="9"/>
      <c r="N37" s="9"/>
      <c r="O37" s="9"/>
      <c r="P37" s="9"/>
      <c r="Q37" s="9"/>
      <c r="R37" s="9"/>
      <c r="S37" s="9"/>
      <c r="T37" s="9"/>
    </row>
    <row r="38" spans="1:20" x14ac:dyDescent="0.3">
      <c r="A38" s="9"/>
      <c r="B38" s="9"/>
      <c r="C38" s="9"/>
      <c r="D38" s="9"/>
      <c r="E38" s="9"/>
      <c r="F38" s="9"/>
      <c r="G38" s="9"/>
      <c r="H38" s="9"/>
      <c r="I38" s="9"/>
      <c r="J38" s="9"/>
      <c r="K38" s="9"/>
      <c r="L38" s="9"/>
      <c r="M38" s="9"/>
      <c r="N38" s="9"/>
      <c r="O38" s="9"/>
      <c r="P38" s="9"/>
      <c r="Q38" s="9"/>
      <c r="R38" s="9"/>
      <c r="S38" s="9"/>
      <c r="T38" s="9"/>
    </row>
    <row r="39" spans="1:20" x14ac:dyDescent="0.3">
      <c r="A39" s="9"/>
      <c r="B39" s="9"/>
      <c r="C39" s="9"/>
      <c r="D39" s="9"/>
      <c r="E39" s="9"/>
      <c r="F39" s="9"/>
      <c r="G39" s="9"/>
      <c r="H39" s="9"/>
      <c r="I39" s="9"/>
      <c r="J39" s="9"/>
      <c r="K39" s="9"/>
      <c r="L39" s="9"/>
      <c r="M39" s="9"/>
      <c r="N39" s="9"/>
      <c r="O39" s="9"/>
      <c r="P39" s="9"/>
      <c r="Q39" s="9"/>
      <c r="R39" s="9"/>
      <c r="S39" s="9"/>
      <c r="T39" s="9"/>
    </row>
    <row r="40" spans="1:20" x14ac:dyDescent="0.3">
      <c r="A40" s="9"/>
      <c r="B40" s="9"/>
      <c r="C40" s="9"/>
      <c r="D40" s="9"/>
      <c r="E40" s="9"/>
      <c r="F40" s="9"/>
      <c r="G40" s="9"/>
      <c r="H40" s="9"/>
      <c r="I40" s="9"/>
      <c r="J40" s="9"/>
      <c r="K40" s="9"/>
      <c r="L40" s="9"/>
      <c r="M40" s="9"/>
      <c r="N40" s="9"/>
      <c r="O40" s="9"/>
      <c r="P40" s="9"/>
      <c r="Q40" s="9"/>
      <c r="R40" s="9"/>
      <c r="S40" s="9"/>
      <c r="T40" s="9"/>
    </row>
    <row r="41" spans="1:20" x14ac:dyDescent="0.3">
      <c r="A41" s="9"/>
      <c r="B41" s="9"/>
      <c r="C41" s="9"/>
      <c r="D41" s="9"/>
      <c r="E41" s="9"/>
      <c r="F41" s="9"/>
      <c r="G41" s="9"/>
      <c r="H41" s="9"/>
      <c r="I41" s="9"/>
      <c r="J41" s="9"/>
      <c r="K41" s="9"/>
      <c r="L41" s="9"/>
      <c r="M41" s="9"/>
      <c r="N41" s="9"/>
      <c r="O41" s="9"/>
      <c r="P41" s="9"/>
      <c r="Q41" s="9"/>
      <c r="R41" s="9"/>
      <c r="S41" s="9"/>
      <c r="T41" s="9"/>
    </row>
    <row r="42" spans="1:20" x14ac:dyDescent="0.3">
      <c r="A42" s="9"/>
      <c r="B42" s="9"/>
      <c r="C42" s="9"/>
      <c r="D42" s="9"/>
      <c r="E42" s="9"/>
      <c r="F42" s="9"/>
      <c r="G42" s="9"/>
      <c r="H42" s="9"/>
      <c r="I42" s="9"/>
      <c r="J42" s="9"/>
      <c r="K42" s="9"/>
      <c r="L42" s="9"/>
      <c r="M42" s="9"/>
      <c r="N42" s="9"/>
      <c r="O42" s="9"/>
      <c r="P42" s="9"/>
      <c r="Q42" s="9"/>
      <c r="R42" s="9"/>
      <c r="S42" s="9"/>
      <c r="T42" s="9"/>
    </row>
    <row r="43" spans="1:20" x14ac:dyDescent="0.3">
      <c r="A43" s="9"/>
      <c r="B43" s="9"/>
      <c r="C43" s="9"/>
      <c r="D43" s="9"/>
      <c r="E43" s="9"/>
      <c r="F43" s="9"/>
      <c r="G43" s="9"/>
      <c r="H43" s="9"/>
      <c r="I43" s="9"/>
      <c r="J43" s="9"/>
      <c r="K43" s="9"/>
      <c r="L43" s="9"/>
      <c r="M43" s="9"/>
      <c r="N43" s="9"/>
      <c r="O43" s="9"/>
      <c r="P43" s="9"/>
      <c r="Q43" s="9"/>
      <c r="R43" s="9"/>
      <c r="S43" s="9"/>
      <c r="T43" s="9"/>
    </row>
    <row r="44" spans="1:20" x14ac:dyDescent="0.3">
      <c r="A44" s="9"/>
      <c r="B44" s="9"/>
      <c r="C44" s="9"/>
      <c r="D44" s="9"/>
      <c r="E44" s="9"/>
      <c r="F44" s="9"/>
      <c r="G44" s="9"/>
      <c r="H44" s="9"/>
      <c r="I44" s="9"/>
      <c r="J44" s="9"/>
      <c r="K44" s="9"/>
      <c r="L44" s="9"/>
      <c r="M44" s="9"/>
      <c r="N44" s="9"/>
      <c r="O44" s="9"/>
      <c r="P44" s="9"/>
      <c r="Q44" s="9"/>
      <c r="R44" s="9"/>
      <c r="S44" s="9"/>
      <c r="T4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A9ED31-9FEF-4A92-A4D1-507C367BC3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payments</vt:lpstr>
      <vt:lpstr>attendance</vt:lpstr>
      <vt:lpstr>classes</vt:lpstr>
      <vt:lpstr>members</vt:lpstr>
      <vt:lpstr>trainers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rahulrewri050@hotmail.com</dc:creator>
  <cp:lastModifiedBy>rahulrewri050@hotmail.com</cp:lastModifiedBy>
  <dcterms:created xsi:type="dcterms:W3CDTF">2026-03-16T14:09:43Z</dcterms:created>
  <dcterms:modified xsi:type="dcterms:W3CDTF">2026-03-18T16:14:39Z</dcterms:modified>
</cp:coreProperties>
</file>